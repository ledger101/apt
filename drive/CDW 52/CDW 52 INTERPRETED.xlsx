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WORK\REPORTS\LUMWANA MINING COMPANY\AQUIFER PUMPING TESTS\2025\RESULTS\"/>
    </mc:Choice>
  </mc:AlternateContent>
  <bookViews>
    <workbookView xWindow="0" yWindow="0" windowWidth="23040" windowHeight="8496" activeTab="2"/>
  </bookViews>
  <sheets>
    <sheet name="NOTES" sheetId="2" r:id="rId1"/>
    <sheet name="Step Drawdown Test" sheetId="1" r:id="rId2"/>
    <sheet name="Aquifer Performance Test" sheetId="3" r:id="rId3"/>
  </sheets>
  <definedNames>
    <definedName name="_xlnm.Print_Area" localSheetId="2">'Aquifer Performance Test'!$A$1:$G$162</definedName>
    <definedName name="_xlnm.Print_Area" localSheetId="1">'Step Drawdown Test'!$A$1:$G$131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0" i="3" l="1"/>
  <c r="F118" i="3"/>
  <c r="G86" i="3"/>
  <c r="G85" i="3"/>
  <c r="E62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15" i="3"/>
  <c r="D89" i="1"/>
  <c r="D88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12" i="1"/>
  <c r="C90" i="1"/>
  <c r="C89" i="1"/>
  <c r="C88" i="1"/>
  <c r="D90" i="1"/>
  <c r="E143" i="3" l="1"/>
  <c r="B115" i="3"/>
  <c r="D115" i="3" s="1"/>
  <c r="F115" i="3" s="1"/>
  <c r="F89" i="1"/>
  <c r="E90" i="1"/>
  <c r="F88" i="1" l="1"/>
  <c r="E88" i="1"/>
  <c r="F90" i="1"/>
  <c r="E89" i="1"/>
</calcChain>
</file>

<file path=xl/sharedStrings.xml><?xml version="1.0" encoding="utf-8"?>
<sst xmlns="http://schemas.openxmlformats.org/spreadsheetml/2006/main" count="105" uniqueCount="91">
  <si>
    <t>SDT</t>
  </si>
  <si>
    <t>STEP DRAWDOWN TEST</t>
  </si>
  <si>
    <t>FIVE HOUR TEST</t>
  </si>
  <si>
    <t>Summarised results of SDT</t>
  </si>
  <si>
    <t>Duration (min)</t>
  </si>
  <si>
    <t>Discharge (Q) lpm</t>
  </si>
  <si>
    <t>Drawdow (s) m</t>
  </si>
  <si>
    <t>Specific Drawdown (S/Q) m/lpm</t>
  </si>
  <si>
    <t>Specific Capacity (Q/S) lpm/m</t>
  </si>
  <si>
    <t>Type of pump</t>
  </si>
  <si>
    <t>H.P</t>
  </si>
  <si>
    <t>Capacity</t>
  </si>
  <si>
    <t>Diameter of delivery pipe</t>
  </si>
  <si>
    <t>Date of test</t>
  </si>
  <si>
    <t>Static Water Level</t>
  </si>
  <si>
    <t>M.P Top of well casing</t>
  </si>
  <si>
    <t>lpm</t>
  </si>
  <si>
    <t>HP</t>
  </si>
  <si>
    <t>(m) b.m.p</t>
  </si>
  <si>
    <t>(m) agl</t>
  </si>
  <si>
    <t>Time in Hours</t>
  </si>
  <si>
    <t>Pumping Water Level in m [b.m.p]</t>
  </si>
  <si>
    <t>Drawdown (S) in m</t>
  </si>
  <si>
    <t>Discharge (Q) in l.p.m.</t>
  </si>
  <si>
    <t>Remarks</t>
  </si>
  <si>
    <t>Step II</t>
  </si>
  <si>
    <t>Step III</t>
  </si>
  <si>
    <t>Water crystal clear</t>
  </si>
  <si>
    <t>Steps</t>
  </si>
  <si>
    <t>Step I</t>
  </si>
  <si>
    <t>Observations from the SDT results:</t>
  </si>
  <si>
    <t>Graphycal Results</t>
  </si>
  <si>
    <t>AQUIFER PERFORMANCE TEST ON EXPLORATORY WELL</t>
  </si>
  <si>
    <t>Time in hours</t>
  </si>
  <si>
    <t>Pumping Water Level in m (b.m.p)</t>
  </si>
  <si>
    <t>Discharge(Q) in lpm</t>
  </si>
  <si>
    <t>Time (t) since pumping started (min)</t>
  </si>
  <si>
    <t xml:space="preserve">Duration </t>
  </si>
  <si>
    <t>Constant Discharge Rate</t>
  </si>
  <si>
    <t xml:space="preserve">Monitoring of pumping water level </t>
  </si>
  <si>
    <t xml:space="preserve">Date of test </t>
  </si>
  <si>
    <t>m</t>
  </si>
  <si>
    <t>(m) bmp</t>
  </si>
  <si>
    <t>(min)</t>
  </si>
  <si>
    <t>(lpm)</t>
  </si>
  <si>
    <t xml:space="preserve">M.P Top of well casing </t>
  </si>
  <si>
    <t>At the end of the test, maximum drawdown recorded in the observation well =</t>
  </si>
  <si>
    <t xml:space="preserve">Time drawdown data thus generated during the course of APT were plotted on semi-logarithmic graph and best fitting straight line was drawn </t>
  </si>
  <si>
    <t>This shows more or less non equilibrium condition</t>
  </si>
  <si>
    <t>The modified non-equilibrium formula of Theis (1933) was used to compute co-eeficient of Transmissibility (T):</t>
  </si>
  <si>
    <t>Where:</t>
  </si>
  <si>
    <r>
      <t>T  = co-efficient of transmissibility in 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/day</t>
    </r>
  </si>
  <si>
    <r>
      <t>Q = Discharge in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</si>
  <si>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t xml:space="preserve">Q = </t>
  </si>
  <si>
    <t xml:space="preserve">lpm = 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</si>
  <si>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/m = </t>
    </r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</si>
  <si>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/day </t>
    </r>
  </si>
  <si>
    <t>Fig. 1</t>
  </si>
  <si>
    <r>
      <t xml:space="preserve">Hydraulic Conductivity or coefficient of permeability, </t>
    </r>
    <r>
      <rPr>
        <b/>
        <sz val="11"/>
        <color theme="1"/>
        <rFont val="Calibri"/>
        <family val="2"/>
        <scheme val="minor"/>
      </rPr>
      <t>K = T/b</t>
    </r>
  </si>
  <si>
    <r>
      <t xml:space="preserve">where </t>
    </r>
    <r>
      <rPr>
        <b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is the saturated thickness of the aquifer</t>
    </r>
  </si>
  <si>
    <r>
      <t>D</t>
    </r>
    <r>
      <rPr>
        <i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= </t>
    </r>
  </si>
  <si>
    <r>
      <t>D</t>
    </r>
    <r>
      <rPr>
        <i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 = Change in meters in the drawdown over one log cycle of time [from Fig. 1]</t>
    </r>
  </si>
  <si>
    <r>
      <t>Drawdown (</t>
    </r>
    <r>
      <rPr>
        <b/>
        <i/>
        <sz val="11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>) in (m)</t>
    </r>
  </si>
  <si>
    <r>
      <t xml:space="preserve">Storage coefficient, </t>
    </r>
    <r>
      <rPr>
        <b/>
        <sz val="12"/>
        <color theme="1"/>
        <rFont val="Calibri"/>
        <family val="2"/>
        <scheme val="minor"/>
      </rPr>
      <t xml:space="preserve">S </t>
    </r>
    <r>
      <rPr>
        <sz val="12"/>
        <color theme="1"/>
        <rFont val="Calibri"/>
        <family val="2"/>
        <scheme val="minor"/>
      </rPr>
      <t xml:space="preserve">can be obtained by selecting </t>
    </r>
    <r>
      <rPr>
        <sz val="11"/>
        <color theme="1"/>
        <rFont val="Calibri"/>
        <family val="2"/>
        <scheme val="minor"/>
      </rPr>
      <t>any drawdown from the time drawdown curve for a given time and substituting this value in the equation:</t>
    </r>
  </si>
  <si>
    <t xml:space="preserve"> [for confined aquifers the rage is 0.00005 and 0.005] </t>
  </si>
  <si>
    <t>[for unconfined aquifers the range is 0.05 to 0.3]</t>
  </si>
  <si>
    <t>Therefore the storage co-efficient value obtained clearly indicate that the aquifer is confined.</t>
  </si>
  <si>
    <t>Results:</t>
  </si>
  <si>
    <t>The computed aquifer parameters indicate that the aquifers are very good to excellent with high yield potential especially when considered in the light of hard rock aquifers</t>
  </si>
  <si>
    <t xml:space="preserve">The well is of very high specific capacity and of almost uniform specific drawdown </t>
  </si>
  <si>
    <t>WA 110-2</t>
  </si>
  <si>
    <t>mm</t>
  </si>
  <si>
    <t>29/06/2025</t>
  </si>
  <si>
    <t xml:space="preserve">Atm temp </t>
  </si>
  <si>
    <t>Water temp</t>
  </si>
  <si>
    <t>Pumping started at 14:00</t>
  </si>
  <si>
    <t xml:space="preserve">Water temp </t>
  </si>
  <si>
    <t xml:space="preserve">After STEP I, specific capacity of the well increased </t>
  </si>
  <si>
    <t>Test concluded at 16:40hrs</t>
  </si>
  <si>
    <t>Table 1: Step Drawdown Test on CDW 52</t>
  </si>
  <si>
    <t xml:space="preserve">Based on SDT and APT </t>
  </si>
  <si>
    <t>CDW 52</t>
  </si>
  <si>
    <t>24HRS</t>
  </si>
  <si>
    <t>Pumping started at 0900hrs</t>
  </si>
  <si>
    <t>Test concluded at</t>
  </si>
  <si>
    <t>Aquifer Performance Test (APT) was conducted on CDW52 for a continuos period of 1440 min (24hrs) at constant rate of 120lpm.</t>
  </si>
  <si>
    <t>T</t>
  </si>
  <si>
    <t>K</t>
  </si>
  <si>
    <t>S</t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</si>
  <si>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/day </t>
    </r>
  </si>
  <si>
    <r>
      <rPr>
        <sz val="11"/>
        <color theme="1"/>
        <rFont val="GreekC"/>
      </rPr>
      <t>∆</t>
    </r>
    <r>
      <rPr>
        <sz val="11"/>
        <color theme="1"/>
        <rFont val="Calibri"/>
        <family val="2"/>
      </rPr>
      <t>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</si>
</sst>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6" formatCode="h:mm;@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GreekC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0" fillId="2" borderId="0" xfId="0" applyFill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/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0" fillId="0" borderId="0" xfId="0" applyAlignment="1">
      <alignment horizontal="right"/>
    </xf>
    <xf numFmtId="20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164" fontId="3" fillId="0" borderId="0" xfId="0" applyNumberFormat="1" applyFont="1"/>
    <xf numFmtId="0" fontId="3" fillId="0" borderId="3" xfId="0" applyFont="1" applyBorder="1" applyAlignment="1">
      <alignment horizontal="center" vertical="center" wrapText="1"/>
    </xf>
    <xf numFmtId="4" fontId="0" fillId="0" borderId="1" xfId="0" applyNumberFormat="1" applyBorder="1"/>
    <xf numFmtId="0" fontId="0" fillId="3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0" xfId="0" applyAlignment="1">
      <alignment horizontal="center"/>
    </xf>
    <xf numFmtId="0" fontId="0" fillId="3" borderId="5" xfId="0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/>
    <xf numFmtId="0" fontId="0" fillId="0" borderId="1" xfId="0" applyBorder="1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2" fillId="4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/>
    <xf numFmtId="20" fontId="0" fillId="0" borderId="0" xfId="0" applyNumberFormat="1"/>
    <xf numFmtId="0" fontId="0" fillId="0" borderId="4" xfId="0" applyBorder="1" applyAlignment="1">
      <alignment horizontal="center" vertical="center" textRotation="90"/>
    </xf>
    <xf numFmtId="0" fontId="0" fillId="0" borderId="6" xfId="0" applyBorder="1" applyAlignment="1">
      <alignment horizontal="center" vertical="center" textRotation="90"/>
    </xf>
    <xf numFmtId="0" fontId="0" fillId="0" borderId="2" xfId="0" applyBorder="1" applyAlignment="1">
      <alignment horizontal="center" vertical="center" textRotation="90"/>
    </xf>
    <xf numFmtId="2" fontId="0" fillId="0" borderId="3" xfId="0" applyNumberFormat="1" applyBorder="1"/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0" fontId="8" fillId="0" borderId="0" xfId="0" applyFont="1" applyAlignment="1">
      <alignment horizontal="right"/>
    </xf>
    <xf numFmtId="2" fontId="3" fillId="0" borderId="0" xfId="0" applyNumberFormat="1" applyFont="1" applyAlignment="1">
      <alignment horizontal="center"/>
    </xf>
    <xf numFmtId="0" fontId="9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Drawdown Test'!$C$11:$C$84</c:f>
              <c:numCache>
                <c:formatCode>h:mm;@</c:formatCode>
                <c:ptCount val="74"/>
                <c:pt idx="0">
                  <c:v>0.58333333333333337</c:v>
                </c:pt>
                <c:pt idx="1">
                  <c:v>0.58402777777777781</c:v>
                </c:pt>
                <c:pt idx="2">
                  <c:v>0.58472222222222225</c:v>
                </c:pt>
                <c:pt idx="3">
                  <c:v>0.5854166666666667</c:v>
                </c:pt>
                <c:pt idx="4">
                  <c:v>0.58611111111111114</c:v>
                </c:pt>
                <c:pt idx="5">
                  <c:v>0.58680555555555558</c:v>
                </c:pt>
                <c:pt idx="6">
                  <c:v>0.58750000000000002</c:v>
                </c:pt>
                <c:pt idx="7">
                  <c:v>0.58819444444444446</c:v>
                </c:pt>
                <c:pt idx="8">
                  <c:v>0.58888888888888891</c:v>
                </c:pt>
                <c:pt idx="9">
                  <c:v>0.58958333333333335</c:v>
                </c:pt>
                <c:pt idx="10">
                  <c:v>0.59027777777777779</c:v>
                </c:pt>
                <c:pt idx="11">
                  <c:v>0.59097222222222223</c:v>
                </c:pt>
                <c:pt idx="12">
                  <c:v>0.59166666666666667</c:v>
                </c:pt>
                <c:pt idx="13">
                  <c:v>0.59236111111111112</c:v>
                </c:pt>
                <c:pt idx="14">
                  <c:v>0.59305555555555556</c:v>
                </c:pt>
                <c:pt idx="15">
                  <c:v>0.59375</c:v>
                </c:pt>
                <c:pt idx="16">
                  <c:v>0.59444444444444444</c:v>
                </c:pt>
                <c:pt idx="17">
                  <c:v>0.59513888888888888</c:v>
                </c:pt>
                <c:pt idx="18">
                  <c:v>0.59583333333333333</c:v>
                </c:pt>
                <c:pt idx="19">
                  <c:v>0.59652777777777777</c:v>
                </c:pt>
                <c:pt idx="20">
                  <c:v>0.59722222222222221</c:v>
                </c:pt>
                <c:pt idx="21">
                  <c:v>0.60069444444444442</c:v>
                </c:pt>
                <c:pt idx="22">
                  <c:v>0.60416666666666663</c:v>
                </c:pt>
                <c:pt idx="23">
                  <c:v>0.61111111111111105</c:v>
                </c:pt>
                <c:pt idx="24">
                  <c:v>0.61805555555555558</c:v>
                </c:pt>
                <c:pt idx="25">
                  <c:v>0.625</c:v>
                </c:pt>
                <c:pt idx="26">
                  <c:v>0.62569444444444444</c:v>
                </c:pt>
                <c:pt idx="27">
                  <c:v>0.62638888888888888</c:v>
                </c:pt>
                <c:pt idx="28">
                  <c:v>0.62708333333333333</c:v>
                </c:pt>
                <c:pt idx="29">
                  <c:v>0.62777777777777799</c:v>
                </c:pt>
                <c:pt idx="30">
                  <c:v>0.62847222222222199</c:v>
                </c:pt>
                <c:pt idx="31">
                  <c:v>0.62916666666666698</c:v>
                </c:pt>
                <c:pt idx="32">
                  <c:v>0.62986111111111098</c:v>
                </c:pt>
                <c:pt idx="33">
                  <c:v>0.63055555555555598</c:v>
                </c:pt>
                <c:pt idx="34">
                  <c:v>0.63124999999999998</c:v>
                </c:pt>
                <c:pt idx="35">
                  <c:v>0.63194444444444398</c:v>
                </c:pt>
                <c:pt idx="36">
                  <c:v>0.63263888888888897</c:v>
                </c:pt>
                <c:pt idx="37">
                  <c:v>0.63333333333333297</c:v>
                </c:pt>
                <c:pt idx="38">
                  <c:v>0.63402777777777797</c:v>
                </c:pt>
                <c:pt idx="39">
                  <c:v>0.63472222222222197</c:v>
                </c:pt>
                <c:pt idx="40">
                  <c:v>0.63541666666666696</c:v>
                </c:pt>
                <c:pt idx="41">
                  <c:v>0.63611111111111096</c:v>
                </c:pt>
                <c:pt idx="42">
                  <c:v>0.63680555555555596</c:v>
                </c:pt>
                <c:pt idx="43">
                  <c:v>0.63749999999999996</c:v>
                </c:pt>
                <c:pt idx="44">
                  <c:v>0.63819444444444395</c:v>
                </c:pt>
                <c:pt idx="45">
                  <c:v>0.63888888888888895</c:v>
                </c:pt>
                <c:pt idx="46">
                  <c:v>0.64236111111111105</c:v>
                </c:pt>
                <c:pt idx="47">
                  <c:v>0.64583333333333337</c:v>
                </c:pt>
                <c:pt idx="48">
                  <c:v>0.65277777777777779</c:v>
                </c:pt>
                <c:pt idx="49">
                  <c:v>0.65972222222222221</c:v>
                </c:pt>
                <c:pt idx="50">
                  <c:v>0.66666666666666663</c:v>
                </c:pt>
                <c:pt idx="51">
                  <c:v>0.66736111111111107</c:v>
                </c:pt>
                <c:pt idx="52">
                  <c:v>0.66805555555555562</c:v>
                </c:pt>
                <c:pt idx="53">
                  <c:v>0.66874999999999996</c:v>
                </c:pt>
                <c:pt idx="54">
                  <c:v>0.66944444444444495</c:v>
                </c:pt>
                <c:pt idx="55">
                  <c:v>0.67013888888888895</c:v>
                </c:pt>
                <c:pt idx="56">
                  <c:v>0.67083333333333395</c:v>
                </c:pt>
                <c:pt idx="57">
                  <c:v>0.67152777777777795</c:v>
                </c:pt>
                <c:pt idx="58">
                  <c:v>0.67222222222222305</c:v>
                </c:pt>
                <c:pt idx="59">
                  <c:v>0.67291666666666705</c:v>
                </c:pt>
                <c:pt idx="60">
                  <c:v>0.67361111111111205</c:v>
                </c:pt>
                <c:pt idx="61">
                  <c:v>0.67430555555555705</c:v>
                </c:pt>
                <c:pt idx="62">
                  <c:v>0.67500000000000104</c:v>
                </c:pt>
                <c:pt idx="63">
                  <c:v>0.67569444444444604</c:v>
                </c:pt>
                <c:pt idx="64">
                  <c:v>0.67638888888889004</c:v>
                </c:pt>
                <c:pt idx="65">
                  <c:v>0.67708333333333504</c:v>
                </c:pt>
                <c:pt idx="66">
                  <c:v>0.67777777777777903</c:v>
                </c:pt>
                <c:pt idx="67">
                  <c:v>0.67847222222222403</c:v>
                </c:pt>
                <c:pt idx="68">
                  <c:v>0.67916666666666803</c:v>
                </c:pt>
                <c:pt idx="69">
                  <c:v>0.67986111111111303</c:v>
                </c:pt>
                <c:pt idx="70">
                  <c:v>0.68055555555555547</c:v>
                </c:pt>
                <c:pt idx="71">
                  <c:v>0.68402777777777779</c:v>
                </c:pt>
                <c:pt idx="72">
                  <c:v>0.6875</c:v>
                </c:pt>
                <c:pt idx="73">
                  <c:v>0.69444444444444453</c:v>
                </c:pt>
              </c:numCache>
            </c:numRef>
          </c:xVal>
          <c:yVal>
            <c:numRef>
              <c:f>'Step Drawdown Test'!$D$11:$D$84</c:f>
              <c:numCache>
                <c:formatCode>General</c:formatCode>
                <c:ptCount val="74"/>
                <c:pt idx="0" formatCode="0.00">
                  <c:v>6.82</c:v>
                </c:pt>
                <c:pt idx="1">
                  <c:v>9.68</c:v>
                </c:pt>
                <c:pt idx="2">
                  <c:v>10.02</c:v>
                </c:pt>
                <c:pt idx="3">
                  <c:v>10.71</c:v>
                </c:pt>
                <c:pt idx="4">
                  <c:v>10.92</c:v>
                </c:pt>
                <c:pt idx="5">
                  <c:v>11.120000000000001</c:v>
                </c:pt>
                <c:pt idx="6">
                  <c:v>12.02</c:v>
                </c:pt>
                <c:pt idx="7">
                  <c:v>13.22</c:v>
                </c:pt>
                <c:pt idx="8">
                  <c:v>13.93</c:v>
                </c:pt>
                <c:pt idx="9">
                  <c:v>14.32</c:v>
                </c:pt>
                <c:pt idx="10">
                  <c:v>14.56</c:v>
                </c:pt>
                <c:pt idx="11">
                  <c:v>14.780000000000001</c:v>
                </c:pt>
                <c:pt idx="12">
                  <c:v>14.99</c:v>
                </c:pt>
                <c:pt idx="13">
                  <c:v>15.88</c:v>
                </c:pt>
                <c:pt idx="14">
                  <c:v>16.100000000000001</c:v>
                </c:pt>
                <c:pt idx="15">
                  <c:v>16.54</c:v>
                </c:pt>
                <c:pt idx="16">
                  <c:v>16.96</c:v>
                </c:pt>
                <c:pt idx="17">
                  <c:v>17.29</c:v>
                </c:pt>
                <c:pt idx="18">
                  <c:v>17.579999999999998</c:v>
                </c:pt>
                <c:pt idx="19">
                  <c:v>17.84</c:v>
                </c:pt>
                <c:pt idx="20">
                  <c:v>18.05</c:v>
                </c:pt>
                <c:pt idx="21">
                  <c:v>18.66</c:v>
                </c:pt>
                <c:pt idx="22">
                  <c:v>18.91</c:v>
                </c:pt>
                <c:pt idx="23">
                  <c:v>19.329999999999998</c:v>
                </c:pt>
                <c:pt idx="24">
                  <c:v>19.240000000000002</c:v>
                </c:pt>
                <c:pt idx="25">
                  <c:v>19.03</c:v>
                </c:pt>
                <c:pt idx="26">
                  <c:v>19.18</c:v>
                </c:pt>
                <c:pt idx="27">
                  <c:v>19.759999999999998</c:v>
                </c:pt>
                <c:pt idx="28">
                  <c:v>19.810000000000002</c:v>
                </c:pt>
                <c:pt idx="29">
                  <c:v>20.079999999999998</c:v>
                </c:pt>
                <c:pt idx="30">
                  <c:v>20.8</c:v>
                </c:pt>
                <c:pt idx="31">
                  <c:v>21.03</c:v>
                </c:pt>
                <c:pt idx="32">
                  <c:v>22.200000000000003</c:v>
                </c:pt>
                <c:pt idx="33">
                  <c:v>24.05</c:v>
                </c:pt>
                <c:pt idx="34">
                  <c:v>24.89</c:v>
                </c:pt>
                <c:pt idx="35">
                  <c:v>26.06</c:v>
                </c:pt>
                <c:pt idx="36">
                  <c:v>26.830000000000002</c:v>
                </c:pt>
                <c:pt idx="37">
                  <c:v>28.1</c:v>
                </c:pt>
                <c:pt idx="38">
                  <c:v>29.68</c:v>
                </c:pt>
                <c:pt idx="39">
                  <c:v>30.28</c:v>
                </c:pt>
                <c:pt idx="40">
                  <c:v>31.8</c:v>
                </c:pt>
                <c:pt idx="41">
                  <c:v>32.28</c:v>
                </c:pt>
                <c:pt idx="42">
                  <c:v>33.950000000000003</c:v>
                </c:pt>
                <c:pt idx="43">
                  <c:v>35.93</c:v>
                </c:pt>
                <c:pt idx="44">
                  <c:v>38.08</c:v>
                </c:pt>
                <c:pt idx="45">
                  <c:v>41.11</c:v>
                </c:pt>
                <c:pt idx="46">
                  <c:v>45.28</c:v>
                </c:pt>
                <c:pt idx="47">
                  <c:v>49.32</c:v>
                </c:pt>
                <c:pt idx="48">
                  <c:v>59.34</c:v>
                </c:pt>
                <c:pt idx="49">
                  <c:v>63.83</c:v>
                </c:pt>
                <c:pt idx="50">
                  <c:v>66.86</c:v>
                </c:pt>
                <c:pt idx="51">
                  <c:v>68.400000000000006</c:v>
                </c:pt>
                <c:pt idx="52">
                  <c:v>69.12</c:v>
                </c:pt>
                <c:pt idx="53">
                  <c:v>69.92</c:v>
                </c:pt>
                <c:pt idx="54">
                  <c:v>70.789999999999992</c:v>
                </c:pt>
                <c:pt idx="55">
                  <c:v>71.87</c:v>
                </c:pt>
                <c:pt idx="56">
                  <c:v>73.240000000000009</c:v>
                </c:pt>
                <c:pt idx="57">
                  <c:v>73.97999999999999</c:v>
                </c:pt>
                <c:pt idx="58">
                  <c:v>74.97999999999999</c:v>
                </c:pt>
                <c:pt idx="59">
                  <c:v>75.38</c:v>
                </c:pt>
                <c:pt idx="60">
                  <c:v>75.740000000000009</c:v>
                </c:pt>
                <c:pt idx="61">
                  <c:v>76.460000000000008</c:v>
                </c:pt>
                <c:pt idx="62">
                  <c:v>77.669999999999987</c:v>
                </c:pt>
                <c:pt idx="63">
                  <c:v>78.669999999999987</c:v>
                </c:pt>
                <c:pt idx="64">
                  <c:v>79.919999999999987</c:v>
                </c:pt>
                <c:pt idx="65">
                  <c:v>80.860000000000014</c:v>
                </c:pt>
                <c:pt idx="66">
                  <c:v>81.759999999999991</c:v>
                </c:pt>
                <c:pt idx="67">
                  <c:v>83.15</c:v>
                </c:pt>
                <c:pt idx="68">
                  <c:v>84.34</c:v>
                </c:pt>
                <c:pt idx="69">
                  <c:v>85.919999999999987</c:v>
                </c:pt>
                <c:pt idx="70">
                  <c:v>87.6</c:v>
                </c:pt>
                <c:pt idx="71">
                  <c:v>95.65</c:v>
                </c:pt>
                <c:pt idx="72">
                  <c:v>101.63999999999999</c:v>
                </c:pt>
                <c:pt idx="73">
                  <c:v>111.922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4A-46BF-BB20-4CE3C87F1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224624"/>
        <c:axId val="548225608"/>
      </c:scatterChart>
      <c:valAx>
        <c:axId val="548224624"/>
        <c:scaling>
          <c:orientation val="minMax"/>
          <c:min val="0.58400000000000007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12700" cap="flat" cmpd="sng" algn="ctr">
              <a:solidFill>
                <a:schemeClr val="accent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(in Hrs)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25608"/>
        <c:crosses val="autoZero"/>
        <c:crossBetween val="midCat"/>
        <c:majorUnit val="1.0000000000000002E-2"/>
        <c:minorUnit val="4.000000000000001E-3"/>
      </c:valAx>
      <c:valAx>
        <c:axId val="548225608"/>
        <c:scaling>
          <c:orientation val="maxMin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Depth</a:t>
                </a:r>
                <a:r>
                  <a:rPr lang="en-GB" baseline="0"/>
                  <a:t> to Water Level (m)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24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DRAW DOWN IN METERS Vs</a:t>
            </a:r>
            <a:r>
              <a:rPr lang="en-GB" baseline="0"/>
              <a:t> TIME IN MINUTES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'Aquifer Performance Test'!$B$15:$B$56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40</c:v>
                </c:pt>
                <c:pt idx="23">
                  <c:v>50</c:v>
                </c:pt>
                <c:pt idx="24">
                  <c:v>60</c:v>
                </c:pt>
                <c:pt idx="25">
                  <c:v>75</c:v>
                </c:pt>
                <c:pt idx="26">
                  <c:v>90</c:v>
                </c:pt>
                <c:pt idx="27">
                  <c:v>120</c:v>
                </c:pt>
                <c:pt idx="28">
                  <c:v>150</c:v>
                </c:pt>
                <c:pt idx="29">
                  <c:v>180</c:v>
                </c:pt>
                <c:pt idx="30">
                  <c:v>240</c:v>
                </c:pt>
                <c:pt idx="31">
                  <c:v>300</c:v>
                </c:pt>
                <c:pt idx="32">
                  <c:v>360</c:v>
                </c:pt>
                <c:pt idx="33">
                  <c:v>420</c:v>
                </c:pt>
                <c:pt idx="34">
                  <c:v>480</c:v>
                </c:pt>
                <c:pt idx="35">
                  <c:v>600</c:v>
                </c:pt>
                <c:pt idx="36">
                  <c:v>720</c:v>
                </c:pt>
                <c:pt idx="37">
                  <c:v>840</c:v>
                </c:pt>
                <c:pt idx="38">
                  <c:v>960</c:v>
                </c:pt>
                <c:pt idx="39">
                  <c:v>1080</c:v>
                </c:pt>
                <c:pt idx="40">
                  <c:v>1200</c:v>
                </c:pt>
                <c:pt idx="41">
                  <c:v>1320</c:v>
                </c:pt>
              </c:numCache>
            </c:numRef>
          </c:xVal>
          <c:yVal>
            <c:numRef>
              <c:f>'Aquifer Performance Test'!$D$15:$D$56</c:f>
              <c:numCache>
                <c:formatCode>0.00</c:formatCode>
                <c:ptCount val="42"/>
                <c:pt idx="0">
                  <c:v>3.48</c:v>
                </c:pt>
                <c:pt idx="1">
                  <c:v>5.0599999999999996</c:v>
                </c:pt>
                <c:pt idx="2">
                  <c:v>6.46</c:v>
                </c:pt>
                <c:pt idx="3">
                  <c:v>7.8</c:v>
                </c:pt>
                <c:pt idx="4">
                  <c:v>8.92</c:v>
                </c:pt>
                <c:pt idx="5">
                  <c:v>10.8</c:v>
                </c:pt>
                <c:pt idx="6">
                  <c:v>11.5</c:v>
                </c:pt>
                <c:pt idx="7">
                  <c:v>12.52</c:v>
                </c:pt>
                <c:pt idx="8">
                  <c:v>13.85</c:v>
                </c:pt>
                <c:pt idx="9">
                  <c:v>14.63</c:v>
                </c:pt>
                <c:pt idx="10">
                  <c:v>15.7</c:v>
                </c:pt>
                <c:pt idx="11">
                  <c:v>16.920000000000002</c:v>
                </c:pt>
                <c:pt idx="12">
                  <c:v>17.59</c:v>
                </c:pt>
                <c:pt idx="13">
                  <c:v>18.43</c:v>
                </c:pt>
                <c:pt idx="14">
                  <c:v>19.18</c:v>
                </c:pt>
                <c:pt idx="15">
                  <c:v>19.82</c:v>
                </c:pt>
                <c:pt idx="16">
                  <c:v>20.420000000000002</c:v>
                </c:pt>
                <c:pt idx="17">
                  <c:v>21</c:v>
                </c:pt>
                <c:pt idx="18">
                  <c:v>21.3</c:v>
                </c:pt>
                <c:pt idx="19">
                  <c:v>21.66</c:v>
                </c:pt>
                <c:pt idx="20">
                  <c:v>23.13</c:v>
                </c:pt>
                <c:pt idx="21">
                  <c:v>25</c:v>
                </c:pt>
                <c:pt idx="22">
                  <c:v>26.42</c:v>
                </c:pt>
                <c:pt idx="23">
                  <c:v>27.06</c:v>
                </c:pt>
                <c:pt idx="24">
                  <c:v>27.4</c:v>
                </c:pt>
                <c:pt idx="25">
                  <c:v>27.77</c:v>
                </c:pt>
                <c:pt idx="26">
                  <c:v>30.41</c:v>
                </c:pt>
                <c:pt idx="27">
                  <c:v>31.61</c:v>
                </c:pt>
                <c:pt idx="28">
                  <c:v>32.17</c:v>
                </c:pt>
                <c:pt idx="29">
                  <c:v>32.46</c:v>
                </c:pt>
                <c:pt idx="30">
                  <c:v>33.15</c:v>
                </c:pt>
                <c:pt idx="31">
                  <c:v>33.4</c:v>
                </c:pt>
                <c:pt idx="32">
                  <c:v>33.770000000000003</c:v>
                </c:pt>
                <c:pt idx="33">
                  <c:v>34.25</c:v>
                </c:pt>
                <c:pt idx="34">
                  <c:v>34.53</c:v>
                </c:pt>
                <c:pt idx="35">
                  <c:v>34.96</c:v>
                </c:pt>
                <c:pt idx="36">
                  <c:v>35.44</c:v>
                </c:pt>
                <c:pt idx="37">
                  <c:v>35.799999999999997</c:v>
                </c:pt>
                <c:pt idx="38">
                  <c:v>35.94</c:v>
                </c:pt>
                <c:pt idx="39">
                  <c:v>35.96</c:v>
                </c:pt>
                <c:pt idx="40">
                  <c:v>36.1</c:v>
                </c:pt>
                <c:pt idx="41">
                  <c:v>36.340000000000003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800-4121-934E-2F352EBA8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534232"/>
        <c:axId val="654866424"/>
      </c:scatterChart>
      <c:valAx>
        <c:axId val="43853423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2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2">
                  <a:lumMod val="40000"/>
                  <a:lumOff val="60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Time (t)  (in Minutes</a:t>
                </a:r>
                <a:r>
                  <a:rPr lang="en-GB"/>
                  <a:t>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866424"/>
        <c:crosses val="max"/>
        <c:crossBetween val="midCat"/>
      </c:valAx>
      <c:valAx>
        <c:axId val="654866424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Drawdown (S)   (in 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534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chart" Target="../charts/chart2.xml"/><Relationship Id="rId6" Type="http://schemas.openxmlformats.org/officeDocument/2006/relationships/image" Target="../media/image8.emf"/><Relationship Id="rId5" Type="http://schemas.openxmlformats.org/officeDocument/2006/relationships/image" Target="../media/image7.emf"/><Relationship Id="rId4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371475</xdr:colOff>
      <xdr:row>36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B811B3-9543-4B34-BFB4-76742615A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467475" cy="6905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37</xdr:row>
      <xdr:rowOff>171450</xdr:rowOff>
    </xdr:from>
    <xdr:to>
      <xdr:col>10</xdr:col>
      <xdr:colOff>266700</xdr:colOff>
      <xdr:row>50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CD7D63-5B4A-42AF-9A8D-0B5E09F54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7219950"/>
          <a:ext cx="6238875" cy="2409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10</xdr:col>
      <xdr:colOff>295275</xdr:colOff>
      <xdr:row>62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7546BF-FE4E-40A2-9905-659BC688B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6391275" cy="209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98</xdr:row>
      <xdr:rowOff>71435</xdr:rowOff>
    </xdr:from>
    <xdr:to>
      <xdr:col>6</xdr:col>
      <xdr:colOff>1571625</xdr:colOff>
      <xdr:row>128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E30E22C-D828-4361-8336-5F7505A2D7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259080</xdr:colOff>
      <xdr:row>105</xdr:row>
      <xdr:rowOff>100965</xdr:rowOff>
    </xdr:from>
    <xdr:to>
      <xdr:col>2</xdr:col>
      <xdr:colOff>259080</xdr:colOff>
      <xdr:row>108</xdr:row>
      <xdr:rowOff>167640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8E95511C-7532-43CE-A3A6-908986D5F7C0}"/>
            </a:ext>
          </a:extLst>
        </xdr:cNvPr>
        <xdr:cNvCxnSpPr/>
      </xdr:nvCxnSpPr>
      <xdr:spPr>
        <a:xfrm>
          <a:off x="3482340" y="20217765"/>
          <a:ext cx="0" cy="615315"/>
        </a:xfrm>
        <a:prstGeom prst="line">
          <a:avLst/>
        </a:prstGeom>
        <a:ln w="158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681990</xdr:colOff>
      <xdr:row>114</xdr:row>
      <xdr:rowOff>133350</xdr:rowOff>
    </xdr:from>
    <xdr:to>
      <xdr:col>4</xdr:col>
      <xdr:colOff>691516</xdr:colOff>
      <xdr:row>117</xdr:row>
      <xdr:rowOff>123825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79330283-2CCA-4080-AB20-1386E22ED0B0}"/>
            </a:ext>
          </a:extLst>
        </xdr:cNvPr>
        <xdr:cNvCxnSpPr/>
      </xdr:nvCxnSpPr>
      <xdr:spPr>
        <a:xfrm flipH="1">
          <a:off x="5734050" y="23450550"/>
          <a:ext cx="9526" cy="539115"/>
        </a:xfrm>
        <a:prstGeom prst="line">
          <a:avLst/>
        </a:prstGeom>
        <a:ln w="158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0.89673</cdr:x>
      <cdr:y>0.81897</cdr:y>
    </cdr:from>
    <cdr:to>
      <cdr:x>0.89749</cdr:x>
      <cdr:y>0.91608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79265DC8-424A-4872-8F22-F3F484081322}"/>
            </a:ext>
          </a:extLst>
        </cdr:cNvPr>
        <cdr:cNvCxnSpPr/>
      </cdr:nvCxnSpPr>
      <cdr:spPr>
        <a:xfrm xmlns:a="http://schemas.openxmlformats.org/drawingml/2006/main" flipH="1" flipV="1">
          <a:off x="7155981" y="4442513"/>
          <a:ext cx="6064" cy="526773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rgbClr val="C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190498</xdr:colOff>
      <xdr:row>65</xdr:row>
      <xdr:rowOff>19049</xdr:rowOff>
    </xdr:from>
    <xdr:to>
      <xdr:col>5</xdr:col>
      <xdr:colOff>3705225</xdr:colOff>
      <xdr:row>97</xdr:row>
      <xdr:rowOff>9525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8183B84-6941-440C-98E5-A4CFC17E10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967740</xdr:colOff>
      <xdr:row>70</xdr:row>
      <xdr:rowOff>15240</xdr:rowOff>
    </xdr:from>
    <xdr:to>
      <xdr:col>5</xdr:col>
      <xdr:colOff>1844040</xdr:colOff>
      <xdr:row>89</xdr:row>
      <xdr:rowOff>152400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403C3BEA-ACB5-438C-97D4-CD285CC180D2}"/>
            </a:ext>
          </a:extLst>
        </xdr:cNvPr>
        <xdr:cNvCxnSpPr/>
      </xdr:nvCxnSpPr>
      <xdr:spPr>
        <a:xfrm flipH="1" flipV="1">
          <a:off x="967740" y="13357860"/>
          <a:ext cx="5684520" cy="3611880"/>
        </a:xfrm>
        <a:prstGeom prst="line">
          <a:avLst/>
        </a:prstGeom>
        <a:ln w="2222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857252</xdr:colOff>
      <xdr:row>103</xdr:row>
      <xdr:rowOff>38100</xdr:rowOff>
    </xdr:from>
    <xdr:to>
      <xdr:col>2</xdr:col>
      <xdr:colOff>219076</xdr:colOff>
      <xdr:row>106</xdr:row>
      <xdr:rowOff>97448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2C4B304D-6842-475A-B687-F80BFDA29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2" y="20783550"/>
          <a:ext cx="1171574" cy="630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457200</xdr:colOff>
      <xdr:row>102</xdr:row>
      <xdr:rowOff>180975</xdr:rowOff>
    </xdr:from>
    <xdr:to>
      <xdr:col>5</xdr:col>
      <xdr:colOff>3638550</xdr:colOff>
      <xdr:row>106</xdr:row>
      <xdr:rowOff>57150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F028662E-DFDE-4638-B9E1-D3D13FA1C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0735925"/>
          <a:ext cx="5210175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30479</xdr:colOff>
      <xdr:row>76</xdr:row>
      <xdr:rowOff>91441</xdr:rowOff>
    </xdr:from>
    <xdr:to>
      <xdr:col>4</xdr:col>
      <xdr:colOff>723901</xdr:colOff>
      <xdr:row>82</xdr:row>
      <xdr:rowOff>121921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D40EE988-4A78-4178-A242-DDB9339B3A4D}"/>
            </a:ext>
          </a:extLst>
        </xdr:cNvPr>
        <xdr:cNvGrpSpPr/>
      </xdr:nvGrpSpPr>
      <xdr:grpSpPr>
        <a:xfrm>
          <a:off x="2766059" y="14531341"/>
          <a:ext cx="1844042" cy="1127760"/>
          <a:chOff x="2708459" y="15724805"/>
          <a:chExt cx="1810725" cy="1156944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1180FB5B-02E0-43B2-AF35-AFF677FD80EA}"/>
              </a:ext>
            </a:extLst>
          </xdr:cNvPr>
          <xdr:cNvCxnSpPr/>
        </xdr:nvCxnSpPr>
        <xdr:spPr>
          <a:xfrm flipH="1" flipV="1">
            <a:off x="2708460" y="16873932"/>
            <a:ext cx="1810724" cy="7817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EED79AD4-E1EF-48E5-893B-475D49ACC60B}"/>
              </a:ext>
            </a:extLst>
          </xdr:cNvPr>
          <xdr:cNvCxnSpPr/>
        </xdr:nvCxnSpPr>
        <xdr:spPr>
          <a:xfrm flipH="1" flipV="1">
            <a:off x="2708459" y="15724805"/>
            <a:ext cx="14966" cy="1156944"/>
          </a:xfrm>
          <a:prstGeom prst="line">
            <a:avLst/>
          </a:prstGeom>
          <a:ln w="2540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7</xdr:col>
      <xdr:colOff>262254</xdr:colOff>
      <xdr:row>64</xdr:row>
      <xdr:rowOff>148590</xdr:rowOff>
    </xdr:from>
    <xdr:to>
      <xdr:col>17</xdr:col>
      <xdr:colOff>178734</xdr:colOff>
      <xdr:row>78</xdr:row>
      <xdr:rowOff>27940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D585784-E71C-40D2-9828-B39EFDC6A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2994" y="12393930"/>
          <a:ext cx="5936280" cy="2439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129</xdr:row>
      <xdr:rowOff>85725</xdr:rowOff>
    </xdr:from>
    <xdr:to>
      <xdr:col>2</xdr:col>
      <xdr:colOff>314325</xdr:colOff>
      <xdr:row>131</xdr:row>
      <xdr:rowOff>180975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3111BD28-291A-4652-80DD-AA9DBA8BB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25879425"/>
          <a:ext cx="19335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828675</xdr:colOff>
      <xdr:row>131</xdr:row>
      <xdr:rowOff>28575</xdr:rowOff>
    </xdr:from>
    <xdr:to>
      <xdr:col>5</xdr:col>
      <xdr:colOff>4029075</xdr:colOff>
      <xdr:row>137</xdr:row>
      <xdr:rowOff>123825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64047B-23B3-41F4-83AB-DB8D4BDDA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8425" y="26203275"/>
          <a:ext cx="6086475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815340</xdr:colOff>
      <xdr:row>117</xdr:row>
      <xdr:rowOff>19050</xdr:rowOff>
    </xdr:from>
    <xdr:ext cx="3215014" cy="4047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/>
            <xdr:cNvSpPr txBox="1"/>
          </xdr:nvSpPr>
          <xdr:spPr>
            <a:xfrm>
              <a:off x="815340" y="22048470"/>
              <a:ext cx="3215014" cy="4047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𝑻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𝟑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𝟏𝟕𝟐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.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𝟒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.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𝟏𝟒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𝟏𝟏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𝟐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𝟖𝟖</m:t>
                    </m:r>
                    <m:sSup>
                      <m:sSup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𝒎</m:t>
                        </m:r>
                      </m:e>
                      <m:sup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p>
                    <m:r>
                      <a:rPr lang="en-US" sz="1400" b="1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𝒅𝒂𝒚</m:t>
                    </m:r>
                  </m:oMath>
                </m:oMathPara>
              </a14:m>
              <a:endParaRPr lang="en-US" sz="1400" b="1"/>
            </a:p>
          </xdr:txBody>
        </xdr:sp>
      </mc:Choice>
      <mc:Fallback>
        <xdr:sp macro="" textlink="">
          <xdr:nvSpPr>
            <xdr:cNvPr id="16" name="TextBox 15"/>
            <xdr:cNvSpPr txBox="1"/>
          </xdr:nvSpPr>
          <xdr:spPr>
            <a:xfrm>
              <a:off x="815340" y="22048470"/>
              <a:ext cx="3215014" cy="4047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</a:rPr>
                <a:t>𝑻=(𝟐.𝟑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×𝟏𝟕𝟐.𝟖)/(</a:t>
              </a:r>
              <a:r>
                <a:rPr lang="en-US" sz="1400" b="1" i="0">
                  <a:latin typeface="Cambria Math" panose="02040503050406030204" pitchFamily="18" charset="0"/>
                </a:rPr>
                <a:t>𝟒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×𝟑.𝟏𝟒×𝟏𝟏)</a:t>
              </a:r>
              <a:r>
                <a:rPr lang="en-US" sz="1400" b="1" i="0">
                  <a:latin typeface="Cambria Math" panose="02040503050406030204" pitchFamily="18" charset="0"/>
                </a:rPr>
                <a:t>=𝟐.𝟖𝟖𝒎^𝟐/𝒅𝒂𝒚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220980</xdr:colOff>
      <xdr:row>139</xdr:row>
      <xdr:rowOff>83820</xdr:rowOff>
    </xdr:from>
    <xdr:ext cx="4038600" cy="6096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/>
            <xdr:cNvSpPr txBox="1"/>
          </xdr:nvSpPr>
          <xdr:spPr>
            <a:xfrm>
              <a:off x="220980" y="26151840"/>
              <a:ext cx="4038600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𝑺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𝟏𝟕𝟐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.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num>
                      <m:den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.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𝟏𝟒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.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𝟖𝟖</m:t>
                        </m:r>
                      </m:den>
                    </m:f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𝒍𝒐𝒈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  <m:f>
                      <m:f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𝟐𝟓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.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𝟖𝟖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𝟎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.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𝟎𝟔𝟗𝟒</m:t>
                        </m:r>
                      </m:num>
                      <m:den>
                        <m:sSup>
                          <m:sSup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𝟏𝟎𝟏𝟒</m:t>
                            </m:r>
                          </m:e>
                          <m:sup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p>
                        </m:sSup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𝟐𝟕</m:t>
                        </m:r>
                      </m:den>
                    </m:f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𝟐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𝟑𝟎</m:t>
                    </m:r>
                  </m:oMath>
                </m:oMathPara>
              </a14:m>
              <a:endParaRPr lang="en-US" sz="1200" b="1"/>
            </a:p>
          </xdr:txBody>
        </xdr:sp>
      </mc:Choice>
      <mc:Fallback>
        <xdr:sp macro="" textlink="">
          <xdr:nvSpPr>
            <xdr:cNvPr id="17" name="TextBox 16"/>
            <xdr:cNvSpPr txBox="1"/>
          </xdr:nvSpPr>
          <xdr:spPr>
            <a:xfrm>
              <a:off x="220980" y="26151840"/>
              <a:ext cx="4038600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𝑺=(𝟐.𝟑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×𝟏𝟕𝟐.𝟖)/(</a:t>
              </a:r>
              <a:r>
                <a:rPr lang="en-US" sz="1200" b="1" i="0">
                  <a:latin typeface="Cambria Math" panose="02040503050406030204" pitchFamily="18" charset="0"/>
                </a:rPr>
                <a:t>𝟒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×𝟑.𝟏𝟒×𝟐.𝟖𝟖) </a:t>
              </a:r>
              <a:r>
                <a:rPr lang="en-US" sz="1200" b="1" i="0">
                  <a:latin typeface="Cambria Math" panose="02040503050406030204" pitchFamily="18" charset="0"/>
                </a:rPr>
                <a:t>〖𝒍𝒐𝒈〗_𝟏𝟎  (𝟐.𝟐𝟓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×𝟐.𝟖𝟖×𝟎.𝟎𝟔𝟗𝟒)/(〖</a:t>
              </a:r>
              <a:r>
                <a:rPr lang="en-US" sz="1200" b="1" i="0">
                  <a:latin typeface="Cambria Math" panose="02040503050406030204" pitchFamily="18" charset="0"/>
                </a:rPr>
                <a:t>𝟎.𝟏𝟎𝟏𝟒〗^𝟐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×𝟐𝟕)</a:t>
              </a:r>
              <a:r>
                <a:rPr lang="en-US" sz="1200" b="1" i="0">
                  <a:latin typeface="Cambria Math" panose="02040503050406030204" pitchFamily="18" charset="0"/>
                </a:rPr>
                <a:t>=𝟐.𝟑𝟎</a:t>
              </a:r>
              <a:endParaRPr lang="en-US" sz="1200" b="1"/>
            </a:p>
          </xdr:txBody>
        </xdr:sp>
      </mc:Fallback>
    </mc:AlternateContent>
    <xdr:clientData/>
  </xdr:one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0.16922</cdr:x>
      <cdr:y>0.56207</cdr:y>
    </cdr:from>
    <cdr:to>
      <cdr:x>0.28059</cdr:x>
      <cdr:y>0.60276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003EB7C-2CBD-4653-9A51-05DC725E0C40}"/>
            </a:ext>
          </a:extLst>
        </cdr:cNvPr>
        <cdr:cNvSpPr txBox="1"/>
      </cdr:nvSpPr>
      <cdr:spPr>
        <a:xfrm xmlns:a="http://schemas.openxmlformats.org/drawingml/2006/main">
          <a:off x="1408382" y="3283971"/>
          <a:ext cx="926926" cy="23773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M" sz="1100"/>
            <a:t>∆</a:t>
          </a:r>
          <a:r>
            <a:rPr lang="en-US" sz="1100" i="1"/>
            <a:t>S</a:t>
          </a:r>
          <a:r>
            <a:rPr lang="en-US" sz="1100"/>
            <a:t> = 11</a:t>
          </a:r>
          <a:endParaRPr lang="en-ZM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56" sqref="L56"/>
    </sheetView>
  </sheetViews>
  <sheetFormatPr defaultColWidth="8.77734375"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1"/>
  <sheetViews>
    <sheetView view="pageBreakPreview" topLeftCell="A117" zoomScaleNormal="100" zoomScaleSheetLayoutView="100" workbookViewId="0">
      <selection activeCell="I114" sqref="I114:I120"/>
    </sheetView>
  </sheetViews>
  <sheetFormatPr defaultColWidth="8.77734375" defaultRowHeight="14.4" x14ac:dyDescent="0.3"/>
  <cols>
    <col min="1" max="1" width="36.33203125" bestFit="1" customWidth="1"/>
    <col min="2" max="2" width="10.6640625" bestFit="1" customWidth="1"/>
    <col min="3" max="3" width="9.6640625" bestFit="1" customWidth="1"/>
    <col min="4" max="4" width="17" customWidth="1"/>
    <col min="5" max="5" width="12.6640625" customWidth="1"/>
    <col min="7" max="7" width="35.44140625" customWidth="1"/>
  </cols>
  <sheetData>
    <row r="1" spans="1:11" x14ac:dyDescent="0.3">
      <c r="A1" s="12" t="s">
        <v>1</v>
      </c>
      <c r="B1" s="4" t="s">
        <v>0</v>
      </c>
      <c r="E1" s="4"/>
      <c r="F1" s="4"/>
      <c r="G1" s="12" t="s">
        <v>2</v>
      </c>
      <c r="I1" s="5"/>
    </row>
    <row r="2" spans="1:11" x14ac:dyDescent="0.3">
      <c r="A2" s="12" t="s">
        <v>9</v>
      </c>
      <c r="B2" s="37" t="s">
        <v>70</v>
      </c>
      <c r="C2" s="37"/>
      <c r="D2" s="37"/>
      <c r="E2" s="37"/>
      <c r="F2" s="37"/>
      <c r="G2" s="4"/>
    </row>
    <row r="3" spans="1:11" x14ac:dyDescent="0.3">
      <c r="A3" s="12" t="s">
        <v>10</v>
      </c>
      <c r="B3" s="3">
        <v>60</v>
      </c>
      <c r="C3" s="4" t="s">
        <v>17</v>
      </c>
      <c r="D3" s="4"/>
      <c r="E3" s="4"/>
      <c r="F3" s="4"/>
      <c r="G3" s="12"/>
    </row>
    <row r="4" spans="1:11" x14ac:dyDescent="0.3">
      <c r="A4" s="12" t="s">
        <v>11</v>
      </c>
      <c r="B4" s="3">
        <v>185</v>
      </c>
      <c r="C4" s="4" t="s">
        <v>16</v>
      </c>
      <c r="D4" s="4"/>
      <c r="E4" s="4"/>
      <c r="F4" s="4"/>
      <c r="G4" s="12"/>
    </row>
    <row r="5" spans="1:11" x14ac:dyDescent="0.3">
      <c r="A5" s="12" t="s">
        <v>12</v>
      </c>
      <c r="B5" s="3">
        <v>100</v>
      </c>
      <c r="C5" s="4" t="s">
        <v>71</v>
      </c>
      <c r="D5" s="4"/>
      <c r="E5" s="4"/>
      <c r="F5" s="4"/>
      <c r="G5" s="12"/>
    </row>
    <row r="6" spans="1:11" x14ac:dyDescent="0.3">
      <c r="A6" s="12" t="s">
        <v>13</v>
      </c>
      <c r="B6" s="14" t="s">
        <v>72</v>
      </c>
      <c r="C6" s="4"/>
      <c r="D6" s="4"/>
      <c r="E6" s="4"/>
      <c r="F6" s="4"/>
      <c r="G6" s="12"/>
    </row>
    <row r="7" spans="1:11" x14ac:dyDescent="0.3">
      <c r="A7" s="12" t="s">
        <v>14</v>
      </c>
      <c r="B7" s="3">
        <v>6.82</v>
      </c>
      <c r="C7" s="4" t="s">
        <v>18</v>
      </c>
      <c r="D7" s="4"/>
      <c r="E7" s="4"/>
      <c r="F7" s="4"/>
      <c r="G7" s="12"/>
    </row>
    <row r="8" spans="1:11" x14ac:dyDescent="0.3">
      <c r="A8" s="12" t="s">
        <v>15</v>
      </c>
      <c r="B8" s="3"/>
      <c r="C8" s="4" t="s">
        <v>19</v>
      </c>
      <c r="D8" s="4"/>
      <c r="E8" s="4"/>
      <c r="F8" s="4"/>
      <c r="G8" s="12"/>
    </row>
    <row r="9" spans="1:11" x14ac:dyDescent="0.3">
      <c r="A9" s="12" t="s">
        <v>79</v>
      </c>
      <c r="B9" s="4"/>
      <c r="C9" s="3"/>
      <c r="D9" s="4"/>
      <c r="E9" s="4"/>
      <c r="F9" s="4"/>
      <c r="G9" s="12"/>
    </row>
    <row r="10" spans="1:11" ht="36" customHeight="1" x14ac:dyDescent="0.3">
      <c r="A10" s="44" t="s">
        <v>80</v>
      </c>
      <c r="B10" s="10" t="s">
        <v>28</v>
      </c>
      <c r="C10" s="9" t="s">
        <v>20</v>
      </c>
      <c r="D10" s="11" t="s">
        <v>21</v>
      </c>
      <c r="E10" s="9" t="s">
        <v>22</v>
      </c>
      <c r="F10" s="9" t="s">
        <v>23</v>
      </c>
      <c r="G10" s="10" t="s">
        <v>24</v>
      </c>
    </row>
    <row r="11" spans="1:11" x14ac:dyDescent="0.3">
      <c r="A11" s="45"/>
      <c r="B11" s="10"/>
      <c r="C11" s="42">
        <v>0.58333333333333337</v>
      </c>
      <c r="D11" s="18">
        <v>6.82</v>
      </c>
      <c r="E11" s="9"/>
      <c r="F11" s="9"/>
      <c r="G11" s="10"/>
      <c r="J11" s="2"/>
      <c r="K11" s="2"/>
    </row>
    <row r="12" spans="1:11" s="2" customFormat="1" x14ac:dyDescent="0.3">
      <c r="A12" s="45"/>
      <c r="B12" s="4" t="s">
        <v>29</v>
      </c>
      <c r="C12" s="42">
        <v>0.58402777777777781</v>
      </c>
      <c r="D12" s="41">
        <f>+$B$7+E12</f>
        <v>9.68</v>
      </c>
      <c r="E12" s="3">
        <v>2.86</v>
      </c>
      <c r="F12" s="3">
        <v>157.80000000000001</v>
      </c>
      <c r="G12" s="4" t="s">
        <v>75</v>
      </c>
    </row>
    <row r="13" spans="1:11" x14ac:dyDescent="0.3">
      <c r="A13" s="45"/>
      <c r="B13" s="4"/>
      <c r="C13" s="42">
        <v>0.58472222222222225</v>
      </c>
      <c r="D13" s="41">
        <f t="shared" ref="D13:D76" si="0">+$B$7+E13</f>
        <v>10.02</v>
      </c>
      <c r="E13" s="3">
        <v>3.2</v>
      </c>
      <c r="F13" s="3">
        <v>157.80000000000001</v>
      </c>
      <c r="G13" s="4"/>
      <c r="J13" s="2"/>
      <c r="K13" s="2"/>
    </row>
    <row r="14" spans="1:11" x14ac:dyDescent="0.3">
      <c r="A14" s="45"/>
      <c r="B14" s="4"/>
      <c r="C14" s="42">
        <v>0.5854166666666667</v>
      </c>
      <c r="D14" s="41">
        <f t="shared" si="0"/>
        <v>10.71</v>
      </c>
      <c r="E14" s="3">
        <v>3.89</v>
      </c>
      <c r="F14" s="3">
        <v>157.80000000000001</v>
      </c>
      <c r="G14" s="4"/>
      <c r="J14" s="2"/>
      <c r="K14" s="2"/>
    </row>
    <row r="15" spans="1:11" x14ac:dyDescent="0.3">
      <c r="A15" s="45"/>
      <c r="B15" s="4"/>
      <c r="C15" s="42">
        <v>0.58611111111111114</v>
      </c>
      <c r="D15" s="41">
        <f t="shared" si="0"/>
        <v>10.92</v>
      </c>
      <c r="E15" s="3">
        <v>4.0999999999999996</v>
      </c>
      <c r="F15" s="3">
        <v>157.80000000000001</v>
      </c>
      <c r="G15" s="4"/>
      <c r="J15" s="2"/>
      <c r="K15" s="2"/>
    </row>
    <row r="16" spans="1:11" x14ac:dyDescent="0.3">
      <c r="A16" s="45"/>
      <c r="B16" s="4"/>
      <c r="C16" s="42">
        <v>0.58680555555555558</v>
      </c>
      <c r="D16" s="41">
        <f t="shared" si="0"/>
        <v>11.120000000000001</v>
      </c>
      <c r="E16" s="3">
        <v>4.3</v>
      </c>
      <c r="F16" s="3">
        <v>157.80000000000001</v>
      </c>
      <c r="G16" s="4"/>
      <c r="J16" s="2"/>
      <c r="K16" s="2"/>
    </row>
    <row r="17" spans="1:11" x14ac:dyDescent="0.3">
      <c r="A17" s="45"/>
      <c r="B17" s="4"/>
      <c r="C17" s="42">
        <v>0.58750000000000002</v>
      </c>
      <c r="D17" s="41">
        <f t="shared" si="0"/>
        <v>12.02</v>
      </c>
      <c r="E17" s="3">
        <v>5.2</v>
      </c>
      <c r="F17" s="3">
        <v>157.80000000000001</v>
      </c>
      <c r="G17" s="4" t="s">
        <v>73</v>
      </c>
      <c r="J17" s="2"/>
      <c r="K17" s="2"/>
    </row>
    <row r="18" spans="1:11" x14ac:dyDescent="0.3">
      <c r="A18" s="45"/>
      <c r="B18" s="4"/>
      <c r="C18" s="42">
        <v>0.58819444444444446</v>
      </c>
      <c r="D18" s="41">
        <f t="shared" si="0"/>
        <v>13.22</v>
      </c>
      <c r="E18" s="3">
        <v>6.4</v>
      </c>
      <c r="F18" s="3">
        <v>157.80000000000001</v>
      </c>
      <c r="G18" s="4" t="s">
        <v>76</v>
      </c>
      <c r="J18" s="2"/>
      <c r="K18" s="2"/>
    </row>
    <row r="19" spans="1:11" x14ac:dyDescent="0.3">
      <c r="A19" s="45"/>
      <c r="B19" s="4"/>
      <c r="C19" s="42">
        <v>0.58888888888888891</v>
      </c>
      <c r="D19" s="41">
        <f t="shared" si="0"/>
        <v>13.93</v>
      </c>
      <c r="E19" s="3">
        <v>7.11</v>
      </c>
      <c r="F19" s="3">
        <v>157.80000000000001</v>
      </c>
      <c r="G19" s="4"/>
      <c r="J19" s="2"/>
      <c r="K19" s="2"/>
    </row>
    <row r="20" spans="1:11" x14ac:dyDescent="0.3">
      <c r="A20" s="45"/>
      <c r="B20" s="4"/>
      <c r="C20" s="42">
        <v>0.58958333333333335</v>
      </c>
      <c r="D20" s="41">
        <f t="shared" si="0"/>
        <v>14.32</v>
      </c>
      <c r="E20" s="3">
        <v>7.5</v>
      </c>
      <c r="F20" s="3">
        <v>157.80000000000001</v>
      </c>
      <c r="G20" s="4"/>
      <c r="J20" s="2"/>
      <c r="K20" s="2"/>
    </row>
    <row r="21" spans="1:11" x14ac:dyDescent="0.3">
      <c r="A21" s="45"/>
      <c r="B21" s="4"/>
      <c r="C21" s="42">
        <v>0.59027777777777779</v>
      </c>
      <c r="D21" s="41">
        <f t="shared" si="0"/>
        <v>14.56</v>
      </c>
      <c r="E21" s="3">
        <v>7.74</v>
      </c>
      <c r="F21" s="3">
        <v>157.80000000000001</v>
      </c>
      <c r="G21" s="4"/>
      <c r="J21" s="2"/>
      <c r="K21" s="2"/>
    </row>
    <row r="22" spans="1:11" x14ac:dyDescent="0.3">
      <c r="A22" s="45"/>
      <c r="B22" s="4"/>
      <c r="C22" s="42">
        <v>0.59097222222222223</v>
      </c>
      <c r="D22" s="41">
        <f t="shared" si="0"/>
        <v>14.780000000000001</v>
      </c>
      <c r="E22" s="3">
        <v>7.96</v>
      </c>
      <c r="F22" s="3">
        <v>157.80000000000001</v>
      </c>
      <c r="G22" s="4"/>
      <c r="J22" s="2"/>
      <c r="K22" s="2"/>
    </row>
    <row r="23" spans="1:11" x14ac:dyDescent="0.3">
      <c r="A23" s="45"/>
      <c r="B23" s="4"/>
      <c r="C23" s="42">
        <v>0.59166666666666667</v>
      </c>
      <c r="D23" s="41">
        <f t="shared" si="0"/>
        <v>14.99</v>
      </c>
      <c r="E23" s="3">
        <v>8.17</v>
      </c>
      <c r="F23" s="3">
        <v>157.80000000000001</v>
      </c>
      <c r="G23" s="4"/>
      <c r="J23" s="2"/>
      <c r="K23" s="2"/>
    </row>
    <row r="24" spans="1:11" x14ac:dyDescent="0.3">
      <c r="A24" s="45"/>
      <c r="B24" s="4"/>
      <c r="C24" s="42">
        <v>0.59236111111111112</v>
      </c>
      <c r="D24" s="41">
        <f t="shared" si="0"/>
        <v>15.88</v>
      </c>
      <c r="E24" s="3">
        <v>9.06</v>
      </c>
      <c r="F24" s="3">
        <v>157.80000000000001</v>
      </c>
      <c r="G24" s="4"/>
      <c r="J24" s="2"/>
      <c r="K24" s="2"/>
    </row>
    <row r="25" spans="1:11" x14ac:dyDescent="0.3">
      <c r="A25" s="45"/>
      <c r="B25" s="4"/>
      <c r="C25" s="42">
        <v>0.59305555555555556</v>
      </c>
      <c r="D25" s="41">
        <f t="shared" si="0"/>
        <v>16.100000000000001</v>
      </c>
      <c r="E25" s="3">
        <v>9.2799999999999994</v>
      </c>
      <c r="F25" s="3">
        <v>157.80000000000001</v>
      </c>
      <c r="G25" s="4" t="s">
        <v>27</v>
      </c>
      <c r="J25" s="2"/>
      <c r="K25" s="2"/>
    </row>
    <row r="26" spans="1:11" x14ac:dyDescent="0.3">
      <c r="A26" s="45"/>
      <c r="B26" s="4"/>
      <c r="C26" s="42">
        <v>0.59375</v>
      </c>
      <c r="D26" s="41">
        <f t="shared" si="0"/>
        <v>16.54</v>
      </c>
      <c r="E26" s="3">
        <v>9.7200000000000006</v>
      </c>
      <c r="F26" s="3">
        <v>157.80000000000001</v>
      </c>
      <c r="G26" s="4"/>
      <c r="J26" s="2"/>
      <c r="K26" s="2"/>
    </row>
    <row r="27" spans="1:11" x14ac:dyDescent="0.3">
      <c r="A27" s="45"/>
      <c r="B27" s="4"/>
      <c r="C27" s="42">
        <v>0.59444444444444444</v>
      </c>
      <c r="D27" s="41">
        <f t="shared" si="0"/>
        <v>16.96</v>
      </c>
      <c r="E27" s="3">
        <v>10.14</v>
      </c>
      <c r="F27" s="3">
        <v>157.80000000000001</v>
      </c>
      <c r="G27" s="4"/>
      <c r="J27" s="2"/>
      <c r="K27" s="2"/>
    </row>
    <row r="28" spans="1:11" x14ac:dyDescent="0.3">
      <c r="A28" s="45"/>
      <c r="B28" s="4"/>
      <c r="C28" s="42">
        <v>0.59513888888888888</v>
      </c>
      <c r="D28" s="41">
        <f t="shared" si="0"/>
        <v>17.29</v>
      </c>
      <c r="E28" s="3">
        <v>10.47</v>
      </c>
      <c r="F28" s="3">
        <v>157.80000000000001</v>
      </c>
      <c r="G28" s="4"/>
      <c r="J28" s="2"/>
      <c r="K28" s="2"/>
    </row>
    <row r="29" spans="1:11" x14ac:dyDescent="0.3">
      <c r="A29" s="45"/>
      <c r="B29" s="4"/>
      <c r="C29" s="42">
        <v>0.59583333333333333</v>
      </c>
      <c r="D29" s="41">
        <f t="shared" si="0"/>
        <v>17.579999999999998</v>
      </c>
      <c r="E29" s="3">
        <v>10.76</v>
      </c>
      <c r="F29" s="3">
        <v>157.80000000000001</v>
      </c>
      <c r="G29" s="4"/>
      <c r="J29" s="2"/>
      <c r="K29" s="2"/>
    </row>
    <row r="30" spans="1:11" x14ac:dyDescent="0.3">
      <c r="A30" s="45"/>
      <c r="B30" s="4"/>
      <c r="C30" s="42">
        <v>0.59652777777777777</v>
      </c>
      <c r="D30" s="41">
        <f t="shared" si="0"/>
        <v>17.84</v>
      </c>
      <c r="E30" s="3">
        <v>11.02</v>
      </c>
      <c r="F30" s="3">
        <v>157.80000000000001</v>
      </c>
      <c r="G30" s="4"/>
      <c r="J30" s="2"/>
      <c r="K30" s="2"/>
    </row>
    <row r="31" spans="1:11" x14ac:dyDescent="0.3">
      <c r="A31" s="45"/>
      <c r="B31" s="4"/>
      <c r="C31" s="42">
        <v>0.59722222222222221</v>
      </c>
      <c r="D31" s="41">
        <f t="shared" si="0"/>
        <v>18.05</v>
      </c>
      <c r="E31" s="3">
        <v>11.23</v>
      </c>
      <c r="F31" s="3">
        <v>157.80000000000001</v>
      </c>
      <c r="G31" s="4"/>
      <c r="J31" s="2"/>
      <c r="K31" s="2"/>
    </row>
    <row r="32" spans="1:11" x14ac:dyDescent="0.3">
      <c r="A32" s="45"/>
      <c r="B32" s="4"/>
      <c r="C32" s="42">
        <v>0.60069444444444442</v>
      </c>
      <c r="D32" s="41">
        <f t="shared" si="0"/>
        <v>18.66</v>
      </c>
      <c r="E32" s="3">
        <v>11.84</v>
      </c>
      <c r="F32" s="3">
        <v>157.80000000000001</v>
      </c>
      <c r="G32" s="4"/>
      <c r="J32" s="2"/>
      <c r="K32" s="2"/>
    </row>
    <row r="33" spans="1:11" x14ac:dyDescent="0.3">
      <c r="A33" s="45"/>
      <c r="B33" s="4"/>
      <c r="C33" s="42">
        <v>0.60416666666666663</v>
      </c>
      <c r="D33" s="41">
        <f t="shared" si="0"/>
        <v>18.91</v>
      </c>
      <c r="E33" s="3">
        <v>12.09</v>
      </c>
      <c r="F33" s="3">
        <v>157.80000000000001</v>
      </c>
      <c r="G33" s="4"/>
      <c r="J33" s="2"/>
      <c r="K33" s="2"/>
    </row>
    <row r="34" spans="1:11" x14ac:dyDescent="0.3">
      <c r="A34" s="45"/>
      <c r="B34" s="4"/>
      <c r="C34" s="42">
        <v>0.61111111111111105</v>
      </c>
      <c r="D34" s="41">
        <f t="shared" si="0"/>
        <v>19.329999999999998</v>
      </c>
      <c r="E34" s="3">
        <v>12.51</v>
      </c>
      <c r="F34" s="3">
        <v>157.80000000000001</v>
      </c>
      <c r="G34" s="4"/>
      <c r="J34" s="2"/>
      <c r="K34" s="2"/>
    </row>
    <row r="35" spans="1:11" x14ac:dyDescent="0.3">
      <c r="A35" s="45"/>
      <c r="B35" s="4"/>
      <c r="C35" s="42">
        <v>0.61805555555555558</v>
      </c>
      <c r="D35" s="41">
        <f t="shared" si="0"/>
        <v>19.240000000000002</v>
      </c>
      <c r="E35" s="3">
        <v>12.42</v>
      </c>
      <c r="F35" s="3">
        <v>157.80000000000001</v>
      </c>
      <c r="G35" s="4"/>
      <c r="J35" s="2"/>
      <c r="K35" s="40"/>
    </row>
    <row r="36" spans="1:11" x14ac:dyDescent="0.3">
      <c r="A36" s="45"/>
      <c r="B36" s="4"/>
      <c r="C36" s="42">
        <v>0.625</v>
      </c>
      <c r="D36" s="41">
        <f t="shared" si="0"/>
        <v>19.03</v>
      </c>
      <c r="E36" s="3">
        <v>12.21</v>
      </c>
      <c r="F36" s="3">
        <v>157.80000000000001</v>
      </c>
      <c r="G36" s="4"/>
      <c r="J36" s="2"/>
      <c r="K36" s="2"/>
    </row>
    <row r="37" spans="1:11" x14ac:dyDescent="0.3">
      <c r="A37" s="45"/>
      <c r="B37" s="4" t="s">
        <v>25</v>
      </c>
      <c r="C37" s="42">
        <v>0.62569444444444444</v>
      </c>
      <c r="D37" s="41">
        <f t="shared" si="0"/>
        <v>19.18</v>
      </c>
      <c r="E37" s="3">
        <v>12.36</v>
      </c>
      <c r="F37" s="3">
        <v>207</v>
      </c>
      <c r="G37" s="4"/>
      <c r="J37" s="2"/>
      <c r="K37" s="2"/>
    </row>
    <row r="38" spans="1:11" x14ac:dyDescent="0.3">
      <c r="A38" s="45"/>
      <c r="B38" s="4"/>
      <c r="C38" s="42">
        <v>0.62638888888888888</v>
      </c>
      <c r="D38" s="41">
        <f t="shared" si="0"/>
        <v>19.759999999999998</v>
      </c>
      <c r="E38" s="3">
        <v>12.94</v>
      </c>
      <c r="F38" s="3">
        <v>207</v>
      </c>
      <c r="G38" s="4"/>
      <c r="J38" s="2"/>
      <c r="K38" s="2"/>
    </row>
    <row r="39" spans="1:11" x14ac:dyDescent="0.3">
      <c r="A39" s="45"/>
      <c r="B39" s="4"/>
      <c r="C39" s="42">
        <v>0.62708333333333333</v>
      </c>
      <c r="D39" s="41">
        <f t="shared" si="0"/>
        <v>19.810000000000002</v>
      </c>
      <c r="E39" s="3">
        <v>12.99</v>
      </c>
      <c r="F39" s="3">
        <v>207</v>
      </c>
      <c r="G39" s="4" t="s">
        <v>27</v>
      </c>
      <c r="J39" s="2"/>
      <c r="K39" s="2"/>
    </row>
    <row r="40" spans="1:11" x14ac:dyDescent="0.3">
      <c r="A40" s="45"/>
      <c r="B40" s="4"/>
      <c r="C40" s="42">
        <v>0.62777777777777799</v>
      </c>
      <c r="D40" s="41">
        <f t="shared" si="0"/>
        <v>20.079999999999998</v>
      </c>
      <c r="E40" s="3">
        <v>13.26</v>
      </c>
      <c r="F40" s="3">
        <v>207</v>
      </c>
      <c r="G40" s="4"/>
      <c r="J40" s="2"/>
      <c r="K40" s="2"/>
    </row>
    <row r="41" spans="1:11" x14ac:dyDescent="0.3">
      <c r="A41" s="45"/>
      <c r="B41" s="4"/>
      <c r="C41" s="42">
        <v>0.62847222222222199</v>
      </c>
      <c r="D41" s="41">
        <f t="shared" si="0"/>
        <v>20.8</v>
      </c>
      <c r="E41" s="3">
        <v>13.98</v>
      </c>
      <c r="F41" s="3">
        <v>207</v>
      </c>
      <c r="G41" s="4"/>
      <c r="J41" s="2"/>
      <c r="K41" s="2"/>
    </row>
    <row r="42" spans="1:11" x14ac:dyDescent="0.3">
      <c r="A42" s="45"/>
      <c r="B42" s="4"/>
      <c r="C42" s="42">
        <v>0.62916666666666698</v>
      </c>
      <c r="D42" s="41">
        <f t="shared" si="0"/>
        <v>21.03</v>
      </c>
      <c r="E42" s="3">
        <v>14.21</v>
      </c>
      <c r="F42" s="3">
        <v>207</v>
      </c>
      <c r="G42" s="4"/>
      <c r="J42" s="2"/>
      <c r="K42" s="2"/>
    </row>
    <row r="43" spans="1:11" x14ac:dyDescent="0.3">
      <c r="A43" s="45"/>
      <c r="B43" s="4"/>
      <c r="C43" s="42">
        <v>0.62986111111111098</v>
      </c>
      <c r="D43" s="41">
        <f t="shared" si="0"/>
        <v>22.200000000000003</v>
      </c>
      <c r="E43" s="3">
        <v>15.38</v>
      </c>
      <c r="F43" s="3">
        <v>207</v>
      </c>
      <c r="G43" s="4"/>
      <c r="J43" s="2"/>
      <c r="K43" s="2"/>
    </row>
    <row r="44" spans="1:11" x14ac:dyDescent="0.3">
      <c r="A44" s="45"/>
      <c r="B44" s="4"/>
      <c r="C44" s="42">
        <v>0.63055555555555598</v>
      </c>
      <c r="D44" s="41">
        <f t="shared" si="0"/>
        <v>24.05</v>
      </c>
      <c r="E44" s="3">
        <v>17.23</v>
      </c>
      <c r="F44" s="3">
        <v>207</v>
      </c>
      <c r="G44" s="4"/>
      <c r="J44" s="2"/>
      <c r="K44" s="2"/>
    </row>
    <row r="45" spans="1:11" x14ac:dyDescent="0.3">
      <c r="A45" s="45"/>
      <c r="B45" s="4"/>
      <c r="C45" s="42">
        <v>0.63124999999999998</v>
      </c>
      <c r="D45" s="41">
        <f t="shared" si="0"/>
        <v>24.89</v>
      </c>
      <c r="E45" s="3">
        <v>18.07</v>
      </c>
      <c r="F45" s="3">
        <v>207</v>
      </c>
      <c r="G45" s="4"/>
      <c r="J45" s="2"/>
      <c r="K45" s="2"/>
    </row>
    <row r="46" spans="1:11" x14ac:dyDescent="0.3">
      <c r="A46" s="45"/>
      <c r="B46" s="4"/>
      <c r="C46" s="42">
        <v>0.63194444444444398</v>
      </c>
      <c r="D46" s="41">
        <f t="shared" si="0"/>
        <v>26.06</v>
      </c>
      <c r="E46" s="3">
        <v>19.239999999999998</v>
      </c>
      <c r="F46" s="3">
        <v>207</v>
      </c>
      <c r="G46" s="4"/>
      <c r="J46" s="2"/>
      <c r="K46" s="2"/>
    </row>
    <row r="47" spans="1:11" x14ac:dyDescent="0.3">
      <c r="A47" s="45"/>
      <c r="B47" s="4"/>
      <c r="C47" s="42">
        <v>0.63263888888888897</v>
      </c>
      <c r="D47" s="41">
        <f t="shared" si="0"/>
        <v>26.830000000000002</v>
      </c>
      <c r="E47" s="3">
        <v>20.010000000000002</v>
      </c>
      <c r="F47" s="3">
        <v>207</v>
      </c>
      <c r="G47" s="4"/>
      <c r="J47" s="2"/>
      <c r="K47" s="2"/>
    </row>
    <row r="48" spans="1:11" x14ac:dyDescent="0.3">
      <c r="A48" s="45"/>
      <c r="B48" s="4"/>
      <c r="C48" s="42">
        <v>0.63333333333333297</v>
      </c>
      <c r="D48" s="41">
        <f t="shared" si="0"/>
        <v>28.1</v>
      </c>
      <c r="E48" s="3">
        <v>21.28</v>
      </c>
      <c r="F48" s="3">
        <v>207</v>
      </c>
      <c r="G48" s="4"/>
      <c r="J48" s="2"/>
      <c r="K48" s="2"/>
    </row>
    <row r="49" spans="1:11" x14ac:dyDescent="0.3">
      <c r="A49" s="45"/>
      <c r="B49" s="4"/>
      <c r="C49" s="42">
        <v>0.63402777777777797</v>
      </c>
      <c r="D49" s="41">
        <f t="shared" si="0"/>
        <v>29.68</v>
      </c>
      <c r="E49" s="3">
        <v>22.86</v>
      </c>
      <c r="F49" s="3">
        <v>207</v>
      </c>
      <c r="G49" s="4"/>
      <c r="J49" s="2"/>
      <c r="K49" s="2"/>
    </row>
    <row r="50" spans="1:11" x14ac:dyDescent="0.3">
      <c r="A50" s="45"/>
      <c r="B50" s="4"/>
      <c r="C50" s="42">
        <v>0.63472222222222197</v>
      </c>
      <c r="D50" s="41">
        <f t="shared" si="0"/>
        <v>30.28</v>
      </c>
      <c r="E50" s="3">
        <v>23.46</v>
      </c>
      <c r="F50" s="3">
        <v>207</v>
      </c>
      <c r="G50" s="4"/>
      <c r="J50" s="2"/>
      <c r="K50" s="2"/>
    </row>
    <row r="51" spans="1:11" x14ac:dyDescent="0.3">
      <c r="A51" s="45"/>
      <c r="B51" s="4"/>
      <c r="C51" s="42">
        <v>0.63541666666666696</v>
      </c>
      <c r="D51" s="41">
        <f t="shared" si="0"/>
        <v>31.8</v>
      </c>
      <c r="E51" s="3">
        <v>24.98</v>
      </c>
      <c r="F51" s="3">
        <v>207</v>
      </c>
      <c r="G51" s="4"/>
      <c r="J51" s="2"/>
      <c r="K51" s="2"/>
    </row>
    <row r="52" spans="1:11" x14ac:dyDescent="0.3">
      <c r="A52" s="45"/>
      <c r="B52" s="4"/>
      <c r="C52" s="42">
        <v>0.63611111111111096</v>
      </c>
      <c r="D52" s="41">
        <f t="shared" si="0"/>
        <v>32.28</v>
      </c>
      <c r="E52" s="3">
        <v>25.46</v>
      </c>
      <c r="F52" s="3">
        <v>207</v>
      </c>
      <c r="G52" s="4"/>
      <c r="J52" s="2"/>
      <c r="K52" s="2"/>
    </row>
    <row r="53" spans="1:11" x14ac:dyDescent="0.3">
      <c r="A53" s="45"/>
      <c r="B53" s="4"/>
      <c r="C53" s="42">
        <v>0.63680555555555596</v>
      </c>
      <c r="D53" s="41">
        <f t="shared" si="0"/>
        <v>33.950000000000003</v>
      </c>
      <c r="E53" s="3">
        <v>27.13</v>
      </c>
      <c r="F53" s="3">
        <v>207</v>
      </c>
      <c r="G53" s="4"/>
      <c r="J53" s="2"/>
      <c r="K53" s="2"/>
    </row>
    <row r="54" spans="1:11" x14ac:dyDescent="0.3">
      <c r="A54" s="45"/>
      <c r="B54" s="4"/>
      <c r="C54" s="42">
        <v>0.63749999999999996</v>
      </c>
      <c r="D54" s="41">
        <f t="shared" si="0"/>
        <v>35.93</v>
      </c>
      <c r="E54" s="3">
        <v>29.11</v>
      </c>
      <c r="F54" s="3">
        <v>207</v>
      </c>
      <c r="G54" s="4"/>
      <c r="J54" s="2"/>
      <c r="K54" s="2"/>
    </row>
    <row r="55" spans="1:11" x14ac:dyDescent="0.3">
      <c r="A55" s="45"/>
      <c r="B55" s="4"/>
      <c r="C55" s="42">
        <v>0.63819444444444395</v>
      </c>
      <c r="D55" s="41">
        <f t="shared" si="0"/>
        <v>38.08</v>
      </c>
      <c r="E55" s="3">
        <v>31.26</v>
      </c>
      <c r="F55" s="3">
        <v>207</v>
      </c>
      <c r="G55" s="4"/>
      <c r="J55" s="2"/>
      <c r="K55" s="2"/>
    </row>
    <row r="56" spans="1:11" x14ac:dyDescent="0.3">
      <c r="A56" s="45"/>
      <c r="B56" s="4"/>
      <c r="C56" s="42">
        <v>0.63888888888888895</v>
      </c>
      <c r="D56" s="41">
        <f t="shared" si="0"/>
        <v>41.11</v>
      </c>
      <c r="E56" s="3">
        <v>34.29</v>
      </c>
      <c r="F56" s="3">
        <v>207</v>
      </c>
      <c r="G56" s="4"/>
      <c r="J56" s="2"/>
      <c r="K56" s="2"/>
    </row>
    <row r="57" spans="1:11" x14ac:dyDescent="0.3">
      <c r="A57" s="45"/>
      <c r="B57" s="4"/>
      <c r="C57" s="42">
        <v>0.64236111111111105</v>
      </c>
      <c r="D57" s="41">
        <f t="shared" si="0"/>
        <v>45.28</v>
      </c>
      <c r="E57" s="3">
        <v>38.46</v>
      </c>
      <c r="F57" s="3">
        <v>207</v>
      </c>
      <c r="G57" s="4"/>
      <c r="J57" s="2"/>
      <c r="K57" s="2"/>
    </row>
    <row r="58" spans="1:11" x14ac:dyDescent="0.3">
      <c r="A58" s="45"/>
      <c r="B58" s="4"/>
      <c r="C58" s="42">
        <v>0.64583333333333337</v>
      </c>
      <c r="D58" s="41">
        <f t="shared" si="0"/>
        <v>49.32</v>
      </c>
      <c r="E58" s="3">
        <v>42.5</v>
      </c>
      <c r="F58" s="3">
        <v>207</v>
      </c>
      <c r="G58" s="4"/>
      <c r="J58" s="2"/>
      <c r="K58" s="2"/>
    </row>
    <row r="59" spans="1:11" x14ac:dyDescent="0.3">
      <c r="A59" s="45"/>
      <c r="B59" s="4"/>
      <c r="C59" s="42">
        <v>0.65277777777777779</v>
      </c>
      <c r="D59" s="41">
        <f t="shared" si="0"/>
        <v>59.34</v>
      </c>
      <c r="E59" s="3">
        <v>52.52</v>
      </c>
      <c r="F59" s="3">
        <v>207</v>
      </c>
      <c r="G59" s="4"/>
      <c r="J59" s="2"/>
      <c r="K59" s="2"/>
    </row>
    <row r="60" spans="1:11" x14ac:dyDescent="0.3">
      <c r="A60" s="45"/>
      <c r="B60" s="4"/>
      <c r="C60" s="42">
        <v>0.65972222222222221</v>
      </c>
      <c r="D60" s="41">
        <f t="shared" si="0"/>
        <v>63.83</v>
      </c>
      <c r="E60" s="3">
        <v>57.01</v>
      </c>
      <c r="F60" s="3">
        <v>207</v>
      </c>
      <c r="G60" s="4"/>
      <c r="J60" s="2"/>
      <c r="K60" s="2"/>
    </row>
    <row r="61" spans="1:11" x14ac:dyDescent="0.3">
      <c r="A61" s="45"/>
      <c r="B61" s="4"/>
      <c r="C61" s="42">
        <v>0.66666666666666663</v>
      </c>
      <c r="D61" s="41">
        <f t="shared" si="0"/>
        <v>66.86</v>
      </c>
      <c r="E61" s="3">
        <v>60.04</v>
      </c>
      <c r="F61" s="3">
        <v>207</v>
      </c>
      <c r="G61" s="4"/>
      <c r="J61" s="2"/>
      <c r="K61" s="2"/>
    </row>
    <row r="62" spans="1:11" x14ac:dyDescent="0.3">
      <c r="A62" s="45"/>
      <c r="B62" s="4" t="s">
        <v>26</v>
      </c>
      <c r="C62" s="42">
        <v>0.66736111111111107</v>
      </c>
      <c r="D62" s="41">
        <f t="shared" si="0"/>
        <v>68.400000000000006</v>
      </c>
      <c r="E62" s="3">
        <v>61.58</v>
      </c>
      <c r="F62" s="3">
        <v>240</v>
      </c>
      <c r="G62" s="4"/>
      <c r="J62" s="2"/>
      <c r="K62" s="2"/>
    </row>
    <row r="63" spans="1:11" x14ac:dyDescent="0.3">
      <c r="A63" s="45"/>
      <c r="B63" s="4"/>
      <c r="C63" s="42">
        <v>0.66805555555555562</v>
      </c>
      <c r="D63" s="41">
        <f t="shared" si="0"/>
        <v>69.12</v>
      </c>
      <c r="E63" s="3">
        <v>62.3</v>
      </c>
      <c r="F63" s="3">
        <v>240</v>
      </c>
      <c r="G63" s="4"/>
      <c r="J63" s="2"/>
      <c r="K63" s="2"/>
    </row>
    <row r="64" spans="1:11" x14ac:dyDescent="0.3">
      <c r="A64" s="45"/>
      <c r="B64" s="4"/>
      <c r="C64" s="42">
        <v>0.66874999999999996</v>
      </c>
      <c r="D64" s="41">
        <f t="shared" si="0"/>
        <v>69.92</v>
      </c>
      <c r="E64" s="3">
        <v>63.1</v>
      </c>
      <c r="F64" s="3">
        <v>240</v>
      </c>
      <c r="G64" s="4"/>
      <c r="J64" s="2"/>
      <c r="K64" s="2"/>
    </row>
    <row r="65" spans="1:11" x14ac:dyDescent="0.3">
      <c r="A65" s="45"/>
      <c r="B65" s="4"/>
      <c r="C65" s="42">
        <v>0.66944444444444495</v>
      </c>
      <c r="D65" s="41">
        <f t="shared" si="0"/>
        <v>70.789999999999992</v>
      </c>
      <c r="E65" s="3">
        <v>63.97</v>
      </c>
      <c r="F65" s="3">
        <v>240</v>
      </c>
      <c r="G65" s="4"/>
      <c r="J65" s="2"/>
      <c r="K65" s="2"/>
    </row>
    <row r="66" spans="1:11" x14ac:dyDescent="0.3">
      <c r="A66" s="45"/>
      <c r="B66" s="4"/>
      <c r="C66" s="42">
        <v>0.67013888888888895</v>
      </c>
      <c r="D66" s="41">
        <f t="shared" si="0"/>
        <v>71.87</v>
      </c>
      <c r="E66" s="3">
        <v>65.05</v>
      </c>
      <c r="F66" s="3">
        <v>240</v>
      </c>
      <c r="G66" s="4"/>
      <c r="J66" s="2"/>
      <c r="K66" s="2"/>
    </row>
    <row r="67" spans="1:11" x14ac:dyDescent="0.3">
      <c r="A67" s="45"/>
      <c r="B67" s="4"/>
      <c r="C67" s="42">
        <v>0.67083333333333395</v>
      </c>
      <c r="D67" s="41">
        <f t="shared" si="0"/>
        <v>73.240000000000009</v>
      </c>
      <c r="E67" s="3">
        <v>66.42</v>
      </c>
      <c r="F67" s="3">
        <v>240</v>
      </c>
      <c r="G67" s="4" t="s">
        <v>27</v>
      </c>
      <c r="J67" s="2"/>
      <c r="K67" s="2"/>
    </row>
    <row r="68" spans="1:11" x14ac:dyDescent="0.3">
      <c r="A68" s="45"/>
      <c r="B68" s="4"/>
      <c r="C68" s="42">
        <v>0.67152777777777795</v>
      </c>
      <c r="D68" s="41">
        <f t="shared" si="0"/>
        <v>73.97999999999999</v>
      </c>
      <c r="E68" s="3">
        <v>67.16</v>
      </c>
      <c r="F68" s="3">
        <v>240</v>
      </c>
      <c r="G68" s="4" t="s">
        <v>73</v>
      </c>
      <c r="J68" s="2"/>
      <c r="K68" s="2"/>
    </row>
    <row r="69" spans="1:11" x14ac:dyDescent="0.3">
      <c r="A69" s="45"/>
      <c r="B69" s="4"/>
      <c r="C69" s="42">
        <v>0.67222222222222305</v>
      </c>
      <c r="D69" s="41">
        <f t="shared" si="0"/>
        <v>74.97999999999999</v>
      </c>
      <c r="E69" s="3">
        <v>68.16</v>
      </c>
      <c r="F69" s="3">
        <v>240</v>
      </c>
      <c r="G69" s="4" t="s">
        <v>74</v>
      </c>
      <c r="J69" s="2"/>
      <c r="K69" s="2"/>
    </row>
    <row r="70" spans="1:11" x14ac:dyDescent="0.3">
      <c r="A70" s="45"/>
      <c r="B70" s="4"/>
      <c r="C70" s="42">
        <v>0.67291666666666705</v>
      </c>
      <c r="D70" s="41">
        <f t="shared" si="0"/>
        <v>75.38</v>
      </c>
      <c r="E70" s="3">
        <v>68.56</v>
      </c>
      <c r="F70" s="3">
        <v>240</v>
      </c>
      <c r="G70" s="4" t="s">
        <v>78</v>
      </c>
      <c r="J70" s="2"/>
      <c r="K70" s="2"/>
    </row>
    <row r="71" spans="1:11" s="36" customFormat="1" x14ac:dyDescent="0.3">
      <c r="A71" s="45"/>
      <c r="B71" s="4"/>
      <c r="C71" s="42">
        <v>0.67361111111111205</v>
      </c>
      <c r="D71" s="41">
        <f t="shared" si="0"/>
        <v>75.740000000000009</v>
      </c>
      <c r="E71" s="3">
        <v>68.92</v>
      </c>
      <c r="F71" s="3">
        <v>240</v>
      </c>
      <c r="G71" s="4"/>
      <c r="J71" s="2"/>
      <c r="K71" s="2"/>
    </row>
    <row r="72" spans="1:11" s="36" customFormat="1" x14ac:dyDescent="0.3">
      <c r="A72" s="45"/>
      <c r="B72" s="4"/>
      <c r="C72" s="42">
        <v>0.67430555555555705</v>
      </c>
      <c r="D72" s="41">
        <f t="shared" si="0"/>
        <v>76.460000000000008</v>
      </c>
      <c r="E72" s="3">
        <v>69.64</v>
      </c>
      <c r="F72" s="3">
        <v>240</v>
      </c>
      <c r="G72" s="4"/>
      <c r="J72" s="2"/>
      <c r="K72" s="2"/>
    </row>
    <row r="73" spans="1:11" s="36" customFormat="1" x14ac:dyDescent="0.3">
      <c r="A73" s="45"/>
      <c r="B73" s="4"/>
      <c r="C73" s="42">
        <v>0.67500000000000104</v>
      </c>
      <c r="D73" s="41">
        <f t="shared" si="0"/>
        <v>77.669999999999987</v>
      </c>
      <c r="E73" s="3">
        <v>70.849999999999994</v>
      </c>
      <c r="F73" s="3">
        <v>240</v>
      </c>
      <c r="G73" s="4"/>
      <c r="J73" s="2"/>
      <c r="K73" s="2"/>
    </row>
    <row r="74" spans="1:11" s="36" customFormat="1" x14ac:dyDescent="0.3">
      <c r="A74" s="45"/>
      <c r="B74" s="4"/>
      <c r="C74" s="42">
        <v>0.67569444444444604</v>
      </c>
      <c r="D74" s="41">
        <f t="shared" si="0"/>
        <v>78.669999999999987</v>
      </c>
      <c r="E74" s="3">
        <v>71.849999999999994</v>
      </c>
      <c r="F74" s="3">
        <v>240</v>
      </c>
      <c r="G74" s="4"/>
      <c r="J74" s="2"/>
      <c r="K74" s="2"/>
    </row>
    <row r="75" spans="1:11" s="36" customFormat="1" x14ac:dyDescent="0.3">
      <c r="A75" s="45"/>
      <c r="B75" s="4"/>
      <c r="C75" s="42">
        <v>0.67638888888889004</v>
      </c>
      <c r="D75" s="41">
        <f t="shared" si="0"/>
        <v>79.919999999999987</v>
      </c>
      <c r="E75" s="3">
        <v>73.099999999999994</v>
      </c>
      <c r="F75" s="3">
        <v>240</v>
      </c>
      <c r="G75" s="4"/>
      <c r="J75" s="2"/>
      <c r="K75" s="2"/>
    </row>
    <row r="76" spans="1:11" s="36" customFormat="1" x14ac:dyDescent="0.3">
      <c r="A76" s="45"/>
      <c r="B76" s="4"/>
      <c r="C76" s="42">
        <v>0.67708333333333504</v>
      </c>
      <c r="D76" s="41">
        <f t="shared" si="0"/>
        <v>80.860000000000014</v>
      </c>
      <c r="E76" s="3">
        <v>74.040000000000006</v>
      </c>
      <c r="F76" s="3">
        <v>240</v>
      </c>
      <c r="G76" s="4"/>
      <c r="J76" s="2"/>
      <c r="K76" s="2"/>
    </row>
    <row r="77" spans="1:11" s="36" customFormat="1" x14ac:dyDescent="0.3">
      <c r="A77" s="45"/>
      <c r="B77" s="4"/>
      <c r="C77" s="42">
        <v>0.67777777777777903</v>
      </c>
      <c r="D77" s="41">
        <f t="shared" ref="D77:D84" si="1">+$B$7+E77</f>
        <v>81.759999999999991</v>
      </c>
      <c r="E77" s="3">
        <v>74.94</v>
      </c>
      <c r="F77" s="3">
        <v>240</v>
      </c>
      <c r="G77" s="4"/>
      <c r="J77" s="2"/>
      <c r="K77" s="2"/>
    </row>
    <row r="78" spans="1:11" s="36" customFormat="1" x14ac:dyDescent="0.3">
      <c r="A78" s="45"/>
      <c r="B78" s="4"/>
      <c r="C78" s="42">
        <v>0.67847222222222403</v>
      </c>
      <c r="D78" s="41">
        <f t="shared" si="1"/>
        <v>83.15</v>
      </c>
      <c r="E78" s="3">
        <v>76.33</v>
      </c>
      <c r="F78" s="3">
        <v>240</v>
      </c>
      <c r="G78" s="4"/>
      <c r="J78" s="2"/>
      <c r="K78" s="2"/>
    </row>
    <row r="79" spans="1:11" s="36" customFormat="1" x14ac:dyDescent="0.3">
      <c r="A79" s="45"/>
      <c r="B79" s="4"/>
      <c r="C79" s="42">
        <v>0.67916666666666803</v>
      </c>
      <c r="D79" s="41">
        <f t="shared" si="1"/>
        <v>84.34</v>
      </c>
      <c r="E79" s="3">
        <v>77.52</v>
      </c>
      <c r="F79" s="3">
        <v>240</v>
      </c>
      <c r="G79" s="4"/>
      <c r="J79" s="2"/>
      <c r="K79" s="2"/>
    </row>
    <row r="80" spans="1:11" s="36" customFormat="1" x14ac:dyDescent="0.3">
      <c r="A80" s="45"/>
      <c r="B80" s="4"/>
      <c r="C80" s="42">
        <v>0.67986111111111303</v>
      </c>
      <c r="D80" s="41">
        <f t="shared" si="1"/>
        <v>85.919999999999987</v>
      </c>
      <c r="E80" s="3">
        <v>79.099999999999994</v>
      </c>
      <c r="F80" s="3">
        <v>240</v>
      </c>
      <c r="G80" s="4"/>
      <c r="J80" s="2"/>
      <c r="K80" s="2"/>
    </row>
    <row r="81" spans="1:11" s="36" customFormat="1" x14ac:dyDescent="0.3">
      <c r="A81" s="45"/>
      <c r="B81" s="4"/>
      <c r="C81" s="42">
        <v>0.68055555555555547</v>
      </c>
      <c r="D81" s="41">
        <f t="shared" si="1"/>
        <v>87.6</v>
      </c>
      <c r="E81" s="3">
        <v>80.78</v>
      </c>
      <c r="F81" s="3">
        <v>240</v>
      </c>
      <c r="G81" s="4"/>
      <c r="J81" s="2"/>
      <c r="K81" s="2"/>
    </row>
    <row r="82" spans="1:11" s="36" customFormat="1" x14ac:dyDescent="0.3">
      <c r="A82" s="45"/>
      <c r="B82" s="4"/>
      <c r="C82" s="42">
        <v>0.68402777777777779</v>
      </c>
      <c r="D82" s="41">
        <f t="shared" si="1"/>
        <v>95.65</v>
      </c>
      <c r="E82" s="3">
        <v>88.83</v>
      </c>
      <c r="F82" s="3">
        <v>240</v>
      </c>
      <c r="G82" s="4"/>
      <c r="J82" s="2"/>
      <c r="K82" s="2"/>
    </row>
    <row r="83" spans="1:11" s="36" customFormat="1" x14ac:dyDescent="0.3">
      <c r="A83" s="45"/>
      <c r="B83" s="4"/>
      <c r="C83" s="42">
        <v>0.6875</v>
      </c>
      <c r="D83" s="41">
        <f t="shared" si="1"/>
        <v>101.63999999999999</v>
      </c>
      <c r="E83" s="3">
        <v>94.82</v>
      </c>
      <c r="F83" s="3">
        <v>240</v>
      </c>
      <c r="G83" s="4"/>
      <c r="J83" s="2"/>
      <c r="K83" s="2"/>
    </row>
    <row r="84" spans="1:11" s="36" customFormat="1" x14ac:dyDescent="0.3">
      <c r="A84" s="46"/>
      <c r="B84" s="4"/>
      <c r="C84" s="42">
        <v>0.69444444444444453</v>
      </c>
      <c r="D84" s="41">
        <f t="shared" si="1"/>
        <v>111.922</v>
      </c>
      <c r="E84" s="18">
        <v>105.102</v>
      </c>
      <c r="F84" s="3">
        <v>240</v>
      </c>
      <c r="G84" s="4"/>
      <c r="J84" s="2"/>
      <c r="K84" s="2"/>
    </row>
    <row r="85" spans="1:11" x14ac:dyDescent="0.3">
      <c r="A85" s="6"/>
      <c r="B85" s="6"/>
      <c r="C85" s="16"/>
      <c r="D85" s="6"/>
      <c r="E85" s="6"/>
      <c r="F85" s="6"/>
      <c r="G85" s="17"/>
      <c r="J85" s="2"/>
      <c r="K85" s="2"/>
    </row>
    <row r="86" spans="1:11" x14ac:dyDescent="0.3">
      <c r="A86" s="6" t="s">
        <v>3</v>
      </c>
      <c r="B86" s="6"/>
      <c r="C86" s="6"/>
      <c r="D86" s="6"/>
      <c r="E86" s="6"/>
      <c r="F86" s="6"/>
      <c r="G86" s="6"/>
      <c r="J86" s="2"/>
      <c r="K86" s="2"/>
    </row>
    <row r="87" spans="1:11" s="2" customFormat="1" ht="65.25" customHeight="1" x14ac:dyDescent="0.3">
      <c r="A87" s="10" t="s">
        <v>28</v>
      </c>
      <c r="B87" s="9" t="s">
        <v>4</v>
      </c>
      <c r="C87" s="9" t="s">
        <v>5</v>
      </c>
      <c r="D87" s="9" t="s">
        <v>6</v>
      </c>
      <c r="E87" s="9" t="s">
        <v>8</v>
      </c>
      <c r="F87" s="9" t="s">
        <v>7</v>
      </c>
      <c r="G87" s="15"/>
    </row>
    <row r="88" spans="1:11" x14ac:dyDescent="0.3">
      <c r="A88" s="3" t="s">
        <v>29</v>
      </c>
      <c r="B88" s="3">
        <v>60</v>
      </c>
      <c r="C88" s="3">
        <f>2.63*60</f>
        <v>157.79999999999998</v>
      </c>
      <c r="D88" s="18">
        <f>+E36</f>
        <v>12.21</v>
      </c>
      <c r="E88" s="18">
        <f>+C88/D88</f>
        <v>12.923832923832922</v>
      </c>
      <c r="F88" s="19">
        <f>+D88/C88</f>
        <v>7.7376425855513326E-2</v>
      </c>
      <c r="G88" s="6"/>
      <c r="J88" s="2"/>
      <c r="K88" s="2"/>
    </row>
    <row r="89" spans="1:11" x14ac:dyDescent="0.3">
      <c r="A89" s="3" t="s">
        <v>25</v>
      </c>
      <c r="B89" s="3">
        <v>60</v>
      </c>
      <c r="C89" s="3">
        <f>3.45*60</f>
        <v>207</v>
      </c>
      <c r="D89" s="18">
        <f>+E61</f>
        <v>60.04</v>
      </c>
      <c r="E89" s="18">
        <f>+C89/D89</f>
        <v>3.4477015323117923</v>
      </c>
      <c r="F89" s="19">
        <f>+D89/C89</f>
        <v>0.29004830917874397</v>
      </c>
      <c r="G89" s="6"/>
      <c r="J89" s="2"/>
      <c r="K89" s="2"/>
    </row>
    <row r="90" spans="1:11" x14ac:dyDescent="0.3">
      <c r="A90" s="3" t="s">
        <v>26</v>
      </c>
      <c r="B90" s="3">
        <v>40</v>
      </c>
      <c r="C90" s="3">
        <f>4*60</f>
        <v>240</v>
      </c>
      <c r="D90" s="18">
        <f>+E84</f>
        <v>105.102</v>
      </c>
      <c r="E90" s="18">
        <f>+C90/D90</f>
        <v>2.2834960324256435</v>
      </c>
      <c r="F90" s="19">
        <f>+D90/C90</f>
        <v>0.43792500000000001</v>
      </c>
      <c r="G90" s="6"/>
      <c r="J90" s="2"/>
      <c r="K90" s="2"/>
    </row>
    <row r="91" spans="1:11" x14ac:dyDescent="0.3">
      <c r="A91" s="3"/>
      <c r="B91" s="3"/>
      <c r="C91" s="3"/>
      <c r="D91" s="18"/>
      <c r="E91" s="18"/>
      <c r="F91" s="19"/>
      <c r="G91" s="6"/>
      <c r="J91" s="2"/>
      <c r="K91" s="2"/>
    </row>
    <row r="92" spans="1:11" x14ac:dyDescent="0.3">
      <c r="A92" s="3"/>
      <c r="B92" s="3"/>
      <c r="C92" s="3"/>
      <c r="D92" s="18"/>
      <c r="E92" s="18"/>
      <c r="F92" s="19"/>
      <c r="G92" s="6"/>
      <c r="J92" s="2"/>
      <c r="K92" s="2"/>
    </row>
    <row r="93" spans="1:11" x14ac:dyDescent="0.3">
      <c r="A93" s="6"/>
      <c r="B93" s="6"/>
      <c r="C93" s="6"/>
      <c r="D93" s="6"/>
      <c r="E93" s="6"/>
      <c r="F93" s="6"/>
      <c r="G93" s="6"/>
      <c r="J93" s="2"/>
      <c r="K93" s="2"/>
    </row>
    <row r="94" spans="1:11" x14ac:dyDescent="0.3">
      <c r="A94" s="34" t="s">
        <v>30</v>
      </c>
      <c r="B94" s="6"/>
      <c r="C94" s="6"/>
      <c r="D94" s="6"/>
      <c r="E94" s="6"/>
      <c r="F94" s="6"/>
      <c r="G94" s="6"/>
      <c r="J94" s="2"/>
      <c r="K94" s="2"/>
    </row>
    <row r="95" spans="1:11" x14ac:dyDescent="0.3">
      <c r="A95" s="35" t="s">
        <v>69</v>
      </c>
      <c r="B95" s="6"/>
      <c r="C95" s="6"/>
      <c r="D95" s="6"/>
      <c r="E95" s="6"/>
      <c r="F95" s="6"/>
      <c r="G95" s="6"/>
      <c r="J95" s="2"/>
      <c r="K95" s="2"/>
    </row>
    <row r="96" spans="1:11" x14ac:dyDescent="0.3">
      <c r="A96" s="35" t="s">
        <v>77</v>
      </c>
      <c r="B96" s="6"/>
      <c r="C96" s="6"/>
      <c r="D96" s="6"/>
      <c r="E96" s="6"/>
      <c r="F96" s="6"/>
      <c r="G96" s="6"/>
      <c r="J96" s="2"/>
      <c r="K96" s="2"/>
    </row>
    <row r="97" spans="1:11" x14ac:dyDescent="0.3">
      <c r="A97" s="6"/>
      <c r="B97" s="6"/>
      <c r="C97" s="6"/>
      <c r="D97" s="6"/>
      <c r="E97" s="6"/>
      <c r="F97" s="6"/>
      <c r="G97" s="6"/>
      <c r="J97" s="2"/>
      <c r="K97" s="2"/>
    </row>
    <row r="98" spans="1:11" x14ac:dyDescent="0.3">
      <c r="A98" s="17" t="s">
        <v>31</v>
      </c>
      <c r="B98" s="6"/>
      <c r="C98" s="6"/>
      <c r="D98" s="6"/>
      <c r="E98" s="6"/>
      <c r="F98" s="6"/>
      <c r="G98" s="6"/>
    </row>
    <row r="99" spans="1:11" x14ac:dyDescent="0.3">
      <c r="A99" s="6"/>
      <c r="B99" s="6"/>
      <c r="C99" s="6"/>
      <c r="D99" s="6"/>
      <c r="E99" s="6"/>
      <c r="F99" s="6"/>
      <c r="G99" s="6"/>
    </row>
    <row r="100" spans="1:11" x14ac:dyDescent="0.3">
      <c r="A100" s="6"/>
      <c r="B100" s="6"/>
      <c r="C100" s="6"/>
      <c r="D100" s="6"/>
      <c r="E100" s="6"/>
      <c r="F100" s="6"/>
      <c r="G100" s="6"/>
    </row>
    <row r="101" spans="1:11" x14ac:dyDescent="0.3">
      <c r="A101" s="6"/>
      <c r="B101" s="6"/>
      <c r="C101" s="6"/>
      <c r="D101" s="6"/>
      <c r="E101" s="6"/>
      <c r="F101" s="6"/>
      <c r="G101" s="6"/>
    </row>
    <row r="102" spans="1:11" x14ac:dyDescent="0.3">
      <c r="A102" s="6"/>
      <c r="B102" s="6"/>
      <c r="C102" s="6"/>
      <c r="D102" s="6"/>
      <c r="E102" s="6"/>
      <c r="F102" s="6"/>
      <c r="G102" s="6"/>
    </row>
    <row r="103" spans="1:11" x14ac:dyDescent="0.3">
      <c r="A103" s="6"/>
      <c r="B103" s="6"/>
      <c r="C103" s="6"/>
      <c r="D103" s="6"/>
      <c r="E103" s="6"/>
      <c r="F103" s="6"/>
      <c r="G103" s="6"/>
    </row>
    <row r="104" spans="1:11" x14ac:dyDescent="0.3">
      <c r="A104" s="6"/>
      <c r="B104" s="6"/>
      <c r="C104" s="6"/>
      <c r="D104" s="6"/>
      <c r="E104" s="6"/>
      <c r="F104" s="6"/>
      <c r="G104" s="6"/>
    </row>
    <row r="105" spans="1:11" x14ac:dyDescent="0.3">
      <c r="A105" s="6"/>
      <c r="B105" s="6"/>
      <c r="C105" s="6"/>
      <c r="D105" s="6"/>
      <c r="E105" s="6"/>
      <c r="F105" s="6"/>
      <c r="G105" s="6"/>
    </row>
    <row r="106" spans="1:11" x14ac:dyDescent="0.3">
      <c r="A106" s="6"/>
      <c r="B106" s="6"/>
      <c r="C106" s="6"/>
      <c r="D106" s="6"/>
      <c r="E106" s="6"/>
      <c r="F106" s="6"/>
      <c r="G106" s="6"/>
    </row>
    <row r="107" spans="1:11" x14ac:dyDescent="0.3">
      <c r="A107" s="6"/>
      <c r="B107" s="6"/>
      <c r="C107" s="6"/>
      <c r="D107" s="6"/>
      <c r="E107" s="6"/>
      <c r="F107" s="6"/>
      <c r="G107" s="6"/>
    </row>
    <row r="108" spans="1:11" x14ac:dyDescent="0.3">
      <c r="A108" s="6"/>
      <c r="B108" s="6"/>
      <c r="C108" s="6"/>
      <c r="D108" s="6"/>
      <c r="E108" s="6"/>
      <c r="F108" s="6"/>
      <c r="G108" s="6"/>
    </row>
    <row r="109" spans="1:11" x14ac:dyDescent="0.3">
      <c r="A109" s="6"/>
      <c r="B109" s="6"/>
      <c r="C109" s="6"/>
      <c r="D109" s="6"/>
      <c r="E109" s="6"/>
      <c r="F109" s="6"/>
      <c r="G109" s="6"/>
    </row>
    <row r="110" spans="1:11" x14ac:dyDescent="0.3">
      <c r="A110" s="6"/>
      <c r="B110" s="6"/>
      <c r="C110" s="6"/>
      <c r="D110" s="6"/>
      <c r="E110" s="6"/>
      <c r="F110" s="6"/>
      <c r="G110" s="6"/>
    </row>
    <row r="111" spans="1:11" x14ac:dyDescent="0.3">
      <c r="A111" s="6"/>
      <c r="B111" s="6"/>
      <c r="C111" s="6"/>
      <c r="D111" s="6"/>
      <c r="E111" s="6"/>
      <c r="F111" s="6"/>
      <c r="G111" s="6"/>
    </row>
    <row r="112" spans="1:11" x14ac:dyDescent="0.3">
      <c r="A112" s="6"/>
      <c r="B112" s="6"/>
      <c r="C112" s="6"/>
      <c r="D112" s="6"/>
      <c r="E112" s="6"/>
      <c r="F112" s="6"/>
      <c r="G112" s="6"/>
    </row>
    <row r="113" spans="1:9" x14ac:dyDescent="0.3">
      <c r="A113" s="6"/>
      <c r="B113" s="6"/>
      <c r="C113" s="6"/>
      <c r="D113" s="6"/>
      <c r="E113" s="6"/>
      <c r="F113" s="6"/>
      <c r="G113" s="6"/>
    </row>
    <row r="114" spans="1:9" x14ac:dyDescent="0.3">
      <c r="A114" s="6"/>
      <c r="B114" s="6"/>
      <c r="C114" s="6"/>
      <c r="D114" s="6"/>
      <c r="E114" s="6"/>
      <c r="F114" s="6"/>
      <c r="G114" s="6"/>
    </row>
    <row r="115" spans="1:9" x14ac:dyDescent="0.3">
      <c r="A115" s="6"/>
      <c r="B115" s="6"/>
      <c r="C115" s="6"/>
      <c r="D115" s="6"/>
      <c r="E115" s="6"/>
      <c r="F115" s="6"/>
      <c r="G115" s="6"/>
      <c r="I115" s="43"/>
    </row>
    <row r="116" spans="1:9" x14ac:dyDescent="0.3">
      <c r="A116" s="6"/>
      <c r="B116" s="6"/>
      <c r="C116" s="6"/>
      <c r="D116" s="6"/>
      <c r="E116" s="6"/>
      <c r="F116" s="6"/>
      <c r="G116" s="6"/>
    </row>
    <row r="117" spans="1:9" x14ac:dyDescent="0.3">
      <c r="A117" s="6"/>
      <c r="B117" s="6"/>
      <c r="C117" s="6"/>
      <c r="D117" s="6"/>
      <c r="E117" s="6"/>
      <c r="F117" s="6"/>
      <c r="G117" s="6"/>
    </row>
    <row r="118" spans="1:9" x14ac:dyDescent="0.3">
      <c r="A118" s="6"/>
      <c r="B118" s="6"/>
      <c r="C118" s="6"/>
      <c r="D118" s="6"/>
      <c r="E118" s="6"/>
      <c r="F118" s="6"/>
      <c r="G118" s="6"/>
    </row>
    <row r="119" spans="1:9" x14ac:dyDescent="0.3">
      <c r="A119" s="6"/>
      <c r="B119" s="6"/>
      <c r="C119" s="6"/>
      <c r="D119" s="6"/>
      <c r="E119" s="6"/>
      <c r="F119" s="6"/>
      <c r="G119" s="6"/>
    </row>
    <row r="120" spans="1:9" x14ac:dyDescent="0.3">
      <c r="A120" s="6"/>
      <c r="B120" s="6"/>
      <c r="C120" s="6"/>
      <c r="D120" s="6"/>
      <c r="E120" s="6"/>
      <c r="F120" s="6"/>
      <c r="G120" s="6"/>
    </row>
    <row r="121" spans="1:9" x14ac:dyDescent="0.3">
      <c r="A121" s="6"/>
      <c r="B121" s="6"/>
      <c r="C121" s="6"/>
      <c r="D121" s="6"/>
      <c r="E121" s="6"/>
      <c r="F121" s="6"/>
      <c r="G121" s="6"/>
    </row>
    <row r="122" spans="1:9" x14ac:dyDescent="0.3">
      <c r="A122" s="6"/>
      <c r="B122" s="6"/>
      <c r="C122" s="6"/>
      <c r="D122" s="6"/>
      <c r="E122" s="6"/>
      <c r="F122" s="6"/>
      <c r="G122" s="6"/>
    </row>
    <row r="123" spans="1:9" x14ac:dyDescent="0.3">
      <c r="A123" s="6"/>
      <c r="B123" s="6"/>
      <c r="C123" s="6"/>
      <c r="D123" s="6"/>
      <c r="E123" s="6"/>
      <c r="F123" s="6"/>
      <c r="G123" s="6"/>
    </row>
    <row r="124" spans="1:9" x14ac:dyDescent="0.3">
      <c r="A124" s="6"/>
      <c r="B124" s="6"/>
      <c r="C124" s="6"/>
      <c r="D124" s="6"/>
      <c r="E124" s="6"/>
      <c r="F124" s="6"/>
      <c r="G124" s="6"/>
    </row>
    <row r="125" spans="1:9" x14ac:dyDescent="0.3">
      <c r="A125" s="6"/>
      <c r="B125" s="6"/>
      <c r="C125" s="6"/>
      <c r="D125" s="6"/>
      <c r="E125" s="6"/>
      <c r="F125" s="6"/>
      <c r="G125" s="6"/>
    </row>
    <row r="126" spans="1:9" x14ac:dyDescent="0.3">
      <c r="A126" s="6"/>
      <c r="B126" s="6"/>
      <c r="C126" s="6"/>
      <c r="D126" s="6"/>
      <c r="E126" s="6"/>
      <c r="F126" s="6"/>
      <c r="G126" s="6"/>
    </row>
    <row r="127" spans="1:9" x14ac:dyDescent="0.3">
      <c r="A127" s="6"/>
      <c r="B127" s="6"/>
      <c r="C127" s="6"/>
      <c r="D127" s="6"/>
      <c r="E127" s="6"/>
      <c r="F127" s="6"/>
      <c r="G127" s="6"/>
    </row>
    <row r="128" spans="1:9" x14ac:dyDescent="0.3">
      <c r="A128" s="6"/>
      <c r="B128" s="6"/>
      <c r="C128" s="6"/>
      <c r="D128" s="6"/>
      <c r="E128" s="6"/>
      <c r="F128" s="6"/>
      <c r="G128" s="6"/>
    </row>
    <row r="129" spans="1:7" x14ac:dyDescent="0.3">
      <c r="A129" s="6"/>
      <c r="B129" s="6"/>
      <c r="C129" s="6"/>
      <c r="D129" s="6"/>
      <c r="E129" s="6"/>
      <c r="F129" s="6"/>
      <c r="G129" s="6"/>
    </row>
    <row r="130" spans="1:7" x14ac:dyDescent="0.3">
      <c r="A130" s="6"/>
      <c r="B130" s="6"/>
      <c r="C130" s="6"/>
      <c r="D130" s="6"/>
      <c r="E130" s="6"/>
      <c r="F130" s="6"/>
      <c r="G130" s="6"/>
    </row>
    <row r="131" spans="1:7" x14ac:dyDescent="0.3">
      <c r="A131" s="6"/>
      <c r="B131" s="6"/>
      <c r="C131" s="6"/>
      <c r="D131" s="6"/>
      <c r="E131" s="6"/>
      <c r="F131" s="6"/>
      <c r="G131" s="6"/>
    </row>
  </sheetData>
  <mergeCells count="2">
    <mergeCell ref="B2:F2"/>
    <mergeCell ref="A10:A84"/>
  </mergeCells>
  <phoneticPr fontId="4" type="noConversion"/>
  <pageMargins left="0.7" right="0.7" top="0.75" bottom="0.75" header="0.3" footer="0.3"/>
  <pageSetup paperSize="9" scale="59" orientation="portrait" horizontalDpi="4294967293" r:id="rId1"/>
  <rowBreaks count="1" manualBreakCount="1">
    <brk id="8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7"/>
  <sheetViews>
    <sheetView tabSelected="1" view="pageBreakPreview" zoomScaleNormal="100" zoomScaleSheetLayoutView="100" workbookViewId="0">
      <selection activeCell="E6" sqref="E6"/>
    </sheetView>
  </sheetViews>
  <sheetFormatPr defaultColWidth="8.77734375" defaultRowHeight="14.4" x14ac:dyDescent="0.3"/>
  <cols>
    <col min="1" max="1" width="14.77734375" customWidth="1"/>
    <col min="2" max="2" width="12.33203125" customWidth="1"/>
    <col min="3" max="3" width="12.77734375" customWidth="1"/>
    <col min="4" max="4" width="16.77734375" customWidth="1"/>
    <col min="5" max="5" width="13.44140625" customWidth="1"/>
    <col min="6" max="6" width="64.6640625" customWidth="1"/>
    <col min="7" max="7" width="7.109375" bestFit="1" customWidth="1"/>
  </cols>
  <sheetData>
    <row r="1" spans="1:7" x14ac:dyDescent="0.3">
      <c r="A1" s="1" t="s">
        <v>32</v>
      </c>
      <c r="F1" t="s">
        <v>81</v>
      </c>
    </row>
    <row r="3" spans="1:7" x14ac:dyDescent="0.3">
      <c r="A3" t="s">
        <v>37</v>
      </c>
      <c r="D3">
        <v>1440</v>
      </c>
      <c r="E3" t="s">
        <v>43</v>
      </c>
      <c r="F3" t="s">
        <v>82</v>
      </c>
    </row>
    <row r="4" spans="1:7" x14ac:dyDescent="0.3">
      <c r="A4" t="s">
        <v>38</v>
      </c>
      <c r="D4">
        <v>120</v>
      </c>
      <c r="E4" t="s">
        <v>44</v>
      </c>
    </row>
    <row r="5" spans="1:7" x14ac:dyDescent="0.3">
      <c r="A5" t="s">
        <v>39</v>
      </c>
      <c r="D5" s="21"/>
    </row>
    <row r="6" spans="1:7" x14ac:dyDescent="0.3">
      <c r="A6" t="s">
        <v>40</v>
      </c>
      <c r="D6" s="23"/>
    </row>
    <row r="7" spans="1:7" x14ac:dyDescent="0.3">
      <c r="A7" t="s">
        <v>14</v>
      </c>
      <c r="D7" s="24">
        <v>8.5</v>
      </c>
      <c r="E7" t="s">
        <v>42</v>
      </c>
    </row>
    <row r="8" spans="1:7" x14ac:dyDescent="0.3">
      <c r="A8" t="s">
        <v>45</v>
      </c>
      <c r="D8" s="24">
        <v>0.41</v>
      </c>
      <c r="E8" t="s">
        <v>19</v>
      </c>
    </row>
    <row r="9" spans="1:7" x14ac:dyDescent="0.3">
      <c r="D9" s="24"/>
    </row>
    <row r="10" spans="1:7" x14ac:dyDescent="0.3">
      <c r="D10" s="24"/>
    </row>
    <row r="11" spans="1:7" x14ac:dyDescent="0.3">
      <c r="D11" s="24"/>
    </row>
    <row r="13" spans="1:7" s="8" customFormat="1" ht="43.2" x14ac:dyDescent="0.3">
      <c r="A13" s="9" t="s">
        <v>33</v>
      </c>
      <c r="B13" s="9" t="s">
        <v>36</v>
      </c>
      <c r="C13" s="27" t="s">
        <v>34</v>
      </c>
      <c r="D13" s="9" t="s">
        <v>62</v>
      </c>
      <c r="E13" s="9" t="s">
        <v>35</v>
      </c>
      <c r="F13" s="9" t="s">
        <v>24</v>
      </c>
      <c r="G13" s="7"/>
    </row>
    <row r="14" spans="1:7" x14ac:dyDescent="0.3">
      <c r="A14" s="28"/>
      <c r="B14" s="22"/>
      <c r="C14" s="47">
        <v>8.5</v>
      </c>
      <c r="D14" s="20"/>
      <c r="E14" s="3">
        <v>120</v>
      </c>
      <c r="F14" s="13" t="s">
        <v>83</v>
      </c>
    </row>
    <row r="15" spans="1:7" x14ac:dyDescent="0.3">
      <c r="A15" s="28"/>
      <c r="B15" s="3">
        <v>1</v>
      </c>
      <c r="C15" s="48">
        <f>+$D$7+D15</f>
        <v>11.98</v>
      </c>
      <c r="D15" s="48">
        <v>3.48</v>
      </c>
      <c r="E15" s="3">
        <v>120</v>
      </c>
      <c r="F15" s="4"/>
    </row>
    <row r="16" spans="1:7" x14ac:dyDescent="0.3">
      <c r="A16" s="28"/>
      <c r="B16" s="3">
        <v>2</v>
      </c>
      <c r="C16" s="48">
        <f t="shared" ref="C16:C57" si="0">+$D$7+D16</f>
        <v>13.559999999999999</v>
      </c>
      <c r="D16" s="48">
        <v>5.0599999999999996</v>
      </c>
      <c r="E16" s="3">
        <v>120</v>
      </c>
      <c r="F16" s="4"/>
    </row>
    <row r="17" spans="1:6" x14ac:dyDescent="0.3">
      <c r="A17" s="28"/>
      <c r="B17" s="3">
        <v>3</v>
      </c>
      <c r="C17" s="48">
        <f t="shared" si="0"/>
        <v>14.96</v>
      </c>
      <c r="D17" s="48">
        <v>6.46</v>
      </c>
      <c r="E17" s="3">
        <v>120</v>
      </c>
      <c r="F17" s="4"/>
    </row>
    <row r="18" spans="1:6" x14ac:dyDescent="0.3">
      <c r="A18" s="28"/>
      <c r="B18" s="3">
        <v>4</v>
      </c>
      <c r="C18" s="48">
        <f t="shared" si="0"/>
        <v>16.3</v>
      </c>
      <c r="D18" s="48">
        <v>7.8</v>
      </c>
      <c r="E18" s="3">
        <v>120</v>
      </c>
      <c r="F18" s="4"/>
    </row>
    <row r="19" spans="1:6" x14ac:dyDescent="0.3">
      <c r="A19" s="28"/>
      <c r="B19" s="3">
        <v>5</v>
      </c>
      <c r="C19" s="48">
        <f t="shared" si="0"/>
        <v>17.420000000000002</v>
      </c>
      <c r="D19" s="48">
        <v>8.92</v>
      </c>
      <c r="E19" s="3">
        <v>120</v>
      </c>
      <c r="F19" s="4"/>
    </row>
    <row r="20" spans="1:6" x14ac:dyDescent="0.3">
      <c r="A20" s="28"/>
      <c r="B20" s="3">
        <v>6</v>
      </c>
      <c r="C20" s="48">
        <f t="shared" si="0"/>
        <v>19.3</v>
      </c>
      <c r="D20" s="48">
        <v>10.8</v>
      </c>
      <c r="E20" s="3">
        <v>120</v>
      </c>
      <c r="F20" s="4"/>
    </row>
    <row r="21" spans="1:6" x14ac:dyDescent="0.3">
      <c r="A21" s="28"/>
      <c r="B21" s="3">
        <v>7</v>
      </c>
      <c r="C21" s="48">
        <f t="shared" si="0"/>
        <v>20</v>
      </c>
      <c r="D21" s="48">
        <v>11.5</v>
      </c>
      <c r="E21" s="3">
        <v>120</v>
      </c>
      <c r="F21" s="4" t="s">
        <v>73</v>
      </c>
    </row>
    <row r="22" spans="1:6" x14ac:dyDescent="0.3">
      <c r="A22" s="28"/>
      <c r="B22" s="3">
        <v>8</v>
      </c>
      <c r="C22" s="48">
        <f t="shared" si="0"/>
        <v>21.02</v>
      </c>
      <c r="D22" s="48">
        <v>12.52</v>
      </c>
      <c r="E22" s="3">
        <v>120</v>
      </c>
      <c r="F22" s="4" t="s">
        <v>76</v>
      </c>
    </row>
    <row r="23" spans="1:6" x14ac:dyDescent="0.3">
      <c r="A23" s="28"/>
      <c r="B23" s="3">
        <v>9</v>
      </c>
      <c r="C23" s="48">
        <f t="shared" si="0"/>
        <v>22.35</v>
      </c>
      <c r="D23" s="48">
        <v>13.85</v>
      </c>
      <c r="E23" s="3">
        <v>120</v>
      </c>
      <c r="F23" s="4"/>
    </row>
    <row r="24" spans="1:6" x14ac:dyDescent="0.3">
      <c r="A24" s="28"/>
      <c r="B24" s="3">
        <v>10</v>
      </c>
      <c r="C24" s="48">
        <f t="shared" si="0"/>
        <v>23.130000000000003</v>
      </c>
      <c r="D24" s="48">
        <v>14.63</v>
      </c>
      <c r="E24" s="3">
        <v>120</v>
      </c>
      <c r="F24" s="4"/>
    </row>
    <row r="25" spans="1:6" x14ac:dyDescent="0.3">
      <c r="A25" s="28"/>
      <c r="B25" s="3">
        <v>11</v>
      </c>
      <c r="C25" s="48">
        <f t="shared" si="0"/>
        <v>24.2</v>
      </c>
      <c r="D25" s="48">
        <v>15.7</v>
      </c>
      <c r="E25" s="3">
        <v>120</v>
      </c>
      <c r="F25" s="4"/>
    </row>
    <row r="26" spans="1:6" x14ac:dyDescent="0.3">
      <c r="A26" s="28"/>
      <c r="B26" s="3">
        <v>12</v>
      </c>
      <c r="C26" s="48">
        <f t="shared" si="0"/>
        <v>25.42</v>
      </c>
      <c r="D26" s="48">
        <v>16.920000000000002</v>
      </c>
      <c r="E26" s="3">
        <v>120</v>
      </c>
      <c r="F26" s="4"/>
    </row>
    <row r="27" spans="1:6" x14ac:dyDescent="0.3">
      <c r="A27" s="28"/>
      <c r="B27" s="3">
        <v>13</v>
      </c>
      <c r="C27" s="48">
        <f t="shared" si="0"/>
        <v>26.09</v>
      </c>
      <c r="D27" s="48">
        <v>17.59</v>
      </c>
      <c r="E27" s="3">
        <v>120</v>
      </c>
      <c r="F27" s="4"/>
    </row>
    <row r="28" spans="1:6" x14ac:dyDescent="0.3">
      <c r="A28" s="28"/>
      <c r="B28" s="3">
        <v>14</v>
      </c>
      <c r="C28" s="48">
        <f t="shared" si="0"/>
        <v>26.93</v>
      </c>
      <c r="D28" s="48">
        <v>18.43</v>
      </c>
      <c r="E28" s="3">
        <v>120</v>
      </c>
      <c r="F28" s="4"/>
    </row>
    <row r="29" spans="1:6" x14ac:dyDescent="0.3">
      <c r="A29" s="28"/>
      <c r="B29" s="3">
        <v>15</v>
      </c>
      <c r="C29" s="48">
        <f t="shared" si="0"/>
        <v>27.68</v>
      </c>
      <c r="D29" s="48">
        <v>19.18</v>
      </c>
      <c r="E29" s="3">
        <v>120</v>
      </c>
      <c r="F29" s="4"/>
    </row>
    <row r="30" spans="1:6" x14ac:dyDescent="0.3">
      <c r="A30" s="28"/>
      <c r="B30" s="3">
        <v>16</v>
      </c>
      <c r="C30" s="48">
        <f t="shared" si="0"/>
        <v>28.32</v>
      </c>
      <c r="D30" s="48">
        <v>19.82</v>
      </c>
      <c r="E30" s="3">
        <v>120</v>
      </c>
      <c r="F30" s="4"/>
    </row>
    <row r="31" spans="1:6" x14ac:dyDescent="0.3">
      <c r="A31" s="28"/>
      <c r="B31" s="3">
        <v>17</v>
      </c>
      <c r="C31" s="48">
        <f t="shared" si="0"/>
        <v>28.92</v>
      </c>
      <c r="D31" s="48">
        <v>20.420000000000002</v>
      </c>
      <c r="E31" s="3">
        <v>120</v>
      </c>
      <c r="F31" s="4"/>
    </row>
    <row r="32" spans="1:6" x14ac:dyDescent="0.3">
      <c r="A32" s="28"/>
      <c r="B32" s="3">
        <v>18</v>
      </c>
      <c r="C32" s="48">
        <f t="shared" si="0"/>
        <v>29.5</v>
      </c>
      <c r="D32" s="48">
        <v>21</v>
      </c>
      <c r="E32" s="3">
        <v>120</v>
      </c>
      <c r="F32" s="4"/>
    </row>
    <row r="33" spans="1:6" x14ac:dyDescent="0.3">
      <c r="A33" s="28"/>
      <c r="B33" s="3">
        <v>19</v>
      </c>
      <c r="C33" s="48">
        <f t="shared" si="0"/>
        <v>29.8</v>
      </c>
      <c r="D33" s="48">
        <v>21.3</v>
      </c>
      <c r="E33" s="3">
        <v>120</v>
      </c>
      <c r="F33" s="4"/>
    </row>
    <row r="34" spans="1:6" x14ac:dyDescent="0.3">
      <c r="A34" s="28"/>
      <c r="B34" s="3">
        <v>20</v>
      </c>
      <c r="C34" s="48">
        <f t="shared" si="0"/>
        <v>30.16</v>
      </c>
      <c r="D34" s="48">
        <v>21.66</v>
      </c>
      <c r="E34" s="3">
        <v>120</v>
      </c>
      <c r="F34" s="4"/>
    </row>
    <row r="35" spans="1:6" x14ac:dyDescent="0.3">
      <c r="A35" s="28"/>
      <c r="B35" s="3">
        <v>25</v>
      </c>
      <c r="C35" s="48">
        <f t="shared" si="0"/>
        <v>31.63</v>
      </c>
      <c r="D35" s="48">
        <v>23.13</v>
      </c>
      <c r="E35" s="3">
        <v>120</v>
      </c>
      <c r="F35" s="4"/>
    </row>
    <row r="36" spans="1:6" x14ac:dyDescent="0.3">
      <c r="A36" s="28"/>
      <c r="B36" s="3">
        <v>30</v>
      </c>
      <c r="C36" s="48">
        <f t="shared" si="0"/>
        <v>33.5</v>
      </c>
      <c r="D36" s="48">
        <v>25</v>
      </c>
      <c r="E36" s="3">
        <v>120</v>
      </c>
      <c r="F36" s="4"/>
    </row>
    <row r="37" spans="1:6" x14ac:dyDescent="0.3">
      <c r="A37" s="28"/>
      <c r="B37" s="3">
        <v>40</v>
      </c>
      <c r="C37" s="48">
        <f t="shared" si="0"/>
        <v>34.92</v>
      </c>
      <c r="D37" s="48">
        <v>26.42</v>
      </c>
      <c r="E37" s="3">
        <v>120</v>
      </c>
      <c r="F37" s="4"/>
    </row>
    <row r="38" spans="1:6" x14ac:dyDescent="0.3">
      <c r="A38" s="28"/>
      <c r="B38" s="3">
        <v>50</v>
      </c>
      <c r="C38" s="48">
        <f t="shared" si="0"/>
        <v>35.56</v>
      </c>
      <c r="D38" s="48">
        <v>27.06</v>
      </c>
      <c r="E38" s="3">
        <v>120</v>
      </c>
      <c r="F38" s="4"/>
    </row>
    <row r="39" spans="1:6" x14ac:dyDescent="0.3">
      <c r="A39" s="28"/>
      <c r="B39" s="3">
        <v>60</v>
      </c>
      <c r="C39" s="48">
        <f t="shared" si="0"/>
        <v>35.9</v>
      </c>
      <c r="D39" s="48">
        <v>27.4</v>
      </c>
      <c r="E39" s="3">
        <v>120</v>
      </c>
      <c r="F39" s="4"/>
    </row>
    <row r="40" spans="1:6" x14ac:dyDescent="0.3">
      <c r="A40" s="28"/>
      <c r="B40" s="3">
        <v>75</v>
      </c>
      <c r="C40" s="48">
        <f t="shared" si="0"/>
        <v>36.269999999999996</v>
      </c>
      <c r="D40" s="48">
        <v>27.77</v>
      </c>
      <c r="E40" s="3">
        <v>120</v>
      </c>
      <c r="F40" s="4"/>
    </row>
    <row r="41" spans="1:6" x14ac:dyDescent="0.3">
      <c r="A41" s="28"/>
      <c r="B41" s="3">
        <v>90</v>
      </c>
      <c r="C41" s="48">
        <f t="shared" si="0"/>
        <v>38.909999999999997</v>
      </c>
      <c r="D41" s="48">
        <v>30.41</v>
      </c>
      <c r="E41" s="3">
        <v>120</v>
      </c>
      <c r="F41" s="4"/>
    </row>
    <row r="42" spans="1:6" x14ac:dyDescent="0.3">
      <c r="A42" s="28"/>
      <c r="B42" s="3">
        <v>120</v>
      </c>
      <c r="C42" s="48">
        <f t="shared" si="0"/>
        <v>40.11</v>
      </c>
      <c r="D42" s="48">
        <v>31.61</v>
      </c>
      <c r="E42" s="3">
        <v>120</v>
      </c>
      <c r="F42" s="4"/>
    </row>
    <row r="43" spans="1:6" x14ac:dyDescent="0.3">
      <c r="A43" s="28"/>
      <c r="B43" s="3">
        <v>150</v>
      </c>
      <c r="C43" s="48">
        <f t="shared" si="0"/>
        <v>40.67</v>
      </c>
      <c r="D43" s="48">
        <v>32.17</v>
      </c>
      <c r="E43" s="3">
        <v>120</v>
      </c>
      <c r="F43" s="4"/>
    </row>
    <row r="44" spans="1:6" x14ac:dyDescent="0.3">
      <c r="A44" s="28"/>
      <c r="B44" s="3">
        <v>180</v>
      </c>
      <c r="C44" s="48">
        <f t="shared" si="0"/>
        <v>40.96</v>
      </c>
      <c r="D44" s="48">
        <v>32.46</v>
      </c>
      <c r="E44" s="3">
        <v>120</v>
      </c>
      <c r="F44" s="4"/>
    </row>
    <row r="45" spans="1:6" x14ac:dyDescent="0.3">
      <c r="A45" s="28"/>
      <c r="B45" s="3">
        <v>240</v>
      </c>
      <c r="C45" s="48">
        <f t="shared" si="0"/>
        <v>41.65</v>
      </c>
      <c r="D45" s="48">
        <v>33.15</v>
      </c>
      <c r="E45" s="3">
        <v>120</v>
      </c>
      <c r="F45" s="4"/>
    </row>
    <row r="46" spans="1:6" x14ac:dyDescent="0.3">
      <c r="A46" s="28"/>
      <c r="B46" s="3">
        <v>300</v>
      </c>
      <c r="C46" s="48">
        <f t="shared" si="0"/>
        <v>41.9</v>
      </c>
      <c r="D46" s="48">
        <v>33.4</v>
      </c>
      <c r="E46" s="3">
        <v>120</v>
      </c>
      <c r="F46" s="4"/>
    </row>
    <row r="47" spans="1:6" x14ac:dyDescent="0.3">
      <c r="A47" s="28"/>
      <c r="B47" s="3">
        <v>360</v>
      </c>
      <c r="C47" s="48">
        <f t="shared" si="0"/>
        <v>42.27</v>
      </c>
      <c r="D47" s="48">
        <v>33.770000000000003</v>
      </c>
      <c r="E47" s="3">
        <v>120</v>
      </c>
      <c r="F47" s="4"/>
    </row>
    <row r="48" spans="1:6" x14ac:dyDescent="0.3">
      <c r="A48" s="28"/>
      <c r="B48" s="3">
        <v>420</v>
      </c>
      <c r="C48" s="48">
        <f t="shared" si="0"/>
        <v>42.75</v>
      </c>
      <c r="D48" s="48">
        <v>34.25</v>
      </c>
      <c r="E48" s="3">
        <v>120</v>
      </c>
      <c r="F48" s="4"/>
    </row>
    <row r="49" spans="1:6" x14ac:dyDescent="0.3">
      <c r="A49" s="28"/>
      <c r="B49" s="3">
        <v>480</v>
      </c>
      <c r="C49" s="48">
        <f t="shared" si="0"/>
        <v>43.03</v>
      </c>
      <c r="D49" s="48">
        <v>34.53</v>
      </c>
      <c r="E49" s="3">
        <v>120</v>
      </c>
      <c r="F49" s="4"/>
    </row>
    <row r="50" spans="1:6" x14ac:dyDescent="0.3">
      <c r="A50" s="28"/>
      <c r="B50" s="3">
        <v>600</v>
      </c>
      <c r="C50" s="48">
        <f t="shared" si="0"/>
        <v>43.46</v>
      </c>
      <c r="D50" s="48">
        <v>34.96</v>
      </c>
      <c r="E50" s="3">
        <v>120</v>
      </c>
      <c r="F50" s="4" t="s">
        <v>84</v>
      </c>
    </row>
    <row r="51" spans="1:6" x14ac:dyDescent="0.3">
      <c r="A51" s="28"/>
      <c r="B51" s="3">
        <v>720</v>
      </c>
      <c r="C51" s="48">
        <f t="shared" si="0"/>
        <v>43.94</v>
      </c>
      <c r="D51" s="48">
        <v>35.44</v>
      </c>
      <c r="E51" s="3">
        <v>120</v>
      </c>
      <c r="F51" s="4"/>
    </row>
    <row r="52" spans="1:6" x14ac:dyDescent="0.3">
      <c r="A52" s="28"/>
      <c r="B52" s="3">
        <v>840</v>
      </c>
      <c r="C52" s="48">
        <f t="shared" si="0"/>
        <v>44.3</v>
      </c>
      <c r="D52" s="48">
        <v>35.799999999999997</v>
      </c>
      <c r="E52" s="3">
        <v>120</v>
      </c>
      <c r="F52" s="4"/>
    </row>
    <row r="53" spans="1:6" x14ac:dyDescent="0.3">
      <c r="A53" s="28"/>
      <c r="B53" s="3">
        <v>960</v>
      </c>
      <c r="C53" s="48">
        <f t="shared" si="0"/>
        <v>44.44</v>
      </c>
      <c r="D53" s="48">
        <v>35.94</v>
      </c>
      <c r="E53" s="3">
        <v>120</v>
      </c>
      <c r="F53" s="4"/>
    </row>
    <row r="54" spans="1:6" x14ac:dyDescent="0.3">
      <c r="A54" s="28"/>
      <c r="B54" s="3">
        <v>1080</v>
      </c>
      <c r="C54" s="48">
        <f t="shared" si="0"/>
        <v>44.46</v>
      </c>
      <c r="D54" s="48">
        <v>35.96</v>
      </c>
      <c r="E54" s="3">
        <v>120</v>
      </c>
      <c r="F54" s="4"/>
    </row>
    <row r="55" spans="1:6" x14ac:dyDescent="0.3">
      <c r="A55" s="28"/>
      <c r="B55" s="3">
        <v>1200</v>
      </c>
      <c r="C55" s="48">
        <f t="shared" si="0"/>
        <v>44.6</v>
      </c>
      <c r="D55" s="48">
        <v>36.1</v>
      </c>
      <c r="E55" s="3">
        <v>120</v>
      </c>
      <c r="F55" s="4"/>
    </row>
    <row r="56" spans="1:6" x14ac:dyDescent="0.3">
      <c r="A56" s="28"/>
      <c r="B56" s="3">
        <v>1320</v>
      </c>
      <c r="C56" s="48">
        <f t="shared" si="0"/>
        <v>44.84</v>
      </c>
      <c r="D56" s="48">
        <v>36.340000000000003</v>
      </c>
      <c r="E56" s="3">
        <v>120</v>
      </c>
      <c r="F56" s="4"/>
    </row>
    <row r="57" spans="1:6" x14ac:dyDescent="0.3">
      <c r="A57" s="4"/>
      <c r="B57" s="50">
        <v>1440</v>
      </c>
      <c r="C57" s="48">
        <f t="shared" si="0"/>
        <v>45.12</v>
      </c>
      <c r="D57" s="49">
        <v>36.619999999999997</v>
      </c>
      <c r="E57" s="3">
        <v>120</v>
      </c>
      <c r="F57" s="4"/>
    </row>
    <row r="59" spans="1:6" x14ac:dyDescent="0.3">
      <c r="A59" s="38" t="s">
        <v>85</v>
      </c>
      <c r="B59" s="38"/>
      <c r="C59" s="38"/>
      <c r="D59" s="38"/>
      <c r="E59" s="38"/>
      <c r="F59" s="38"/>
    </row>
    <row r="60" spans="1:6" ht="28.5" customHeight="1" x14ac:dyDescent="0.3">
      <c r="A60" s="39"/>
      <c r="B60" s="39"/>
      <c r="C60" s="39"/>
      <c r="D60" s="39"/>
      <c r="E60" s="39"/>
      <c r="F60" s="39"/>
    </row>
    <row r="62" spans="1:6" x14ac:dyDescent="0.3">
      <c r="A62" t="s">
        <v>46</v>
      </c>
      <c r="E62" s="26">
        <f>+MAX(D15:D57)</f>
        <v>36.619999999999997</v>
      </c>
      <c r="F62" s="25" t="s">
        <v>41</v>
      </c>
    </row>
    <row r="64" spans="1:6" x14ac:dyDescent="0.3">
      <c r="A64" t="s">
        <v>47</v>
      </c>
    </row>
    <row r="65" spans="1:1" x14ac:dyDescent="0.3">
      <c r="A65" s="1" t="s">
        <v>57</v>
      </c>
    </row>
    <row r="85" spans="7:7" x14ac:dyDescent="0.3">
      <c r="G85">
        <f>100/60</f>
        <v>1.6666666666666667</v>
      </c>
    </row>
    <row r="86" spans="7:7" x14ac:dyDescent="0.3">
      <c r="G86">
        <f>+G85/24</f>
        <v>6.9444444444444448E-2</v>
      </c>
    </row>
    <row r="99" spans="1:2" x14ac:dyDescent="0.3">
      <c r="A99" t="s">
        <v>48</v>
      </c>
    </row>
    <row r="101" spans="1:2" x14ac:dyDescent="0.3">
      <c r="A101" t="s">
        <v>49</v>
      </c>
    </row>
    <row r="108" spans="1:2" x14ac:dyDescent="0.3">
      <c r="A108" t="s">
        <v>50</v>
      </c>
    </row>
    <row r="109" spans="1:2" ht="16.2" x14ac:dyDescent="0.3">
      <c r="B109" t="s">
        <v>51</v>
      </c>
    </row>
    <row r="110" spans="1:2" ht="16.2" x14ac:dyDescent="0.3">
      <c r="B110" t="s">
        <v>52</v>
      </c>
    </row>
    <row r="111" spans="1:2" x14ac:dyDescent="0.3">
      <c r="B111" t="s">
        <v>61</v>
      </c>
    </row>
    <row r="115" spans="1:7" ht="16.2" x14ac:dyDescent="0.3">
      <c r="A115" s="3" t="s">
        <v>53</v>
      </c>
      <c r="B115" s="29">
        <f>+D4</f>
        <v>120</v>
      </c>
      <c r="C115" s="30" t="s">
        <v>54</v>
      </c>
      <c r="D115" s="29">
        <f>+B115/1000</f>
        <v>0.12</v>
      </c>
      <c r="E115" s="30" t="s">
        <v>55</v>
      </c>
      <c r="F115" s="29">
        <f>+D115*60*24</f>
        <v>172.79999999999998</v>
      </c>
      <c r="G115" s="30" t="s">
        <v>56</v>
      </c>
    </row>
    <row r="116" spans="1:7" ht="18" x14ac:dyDescent="0.45">
      <c r="A116" s="32" t="s">
        <v>60</v>
      </c>
      <c r="B116" s="33">
        <v>11</v>
      </c>
      <c r="C116" s="54" t="s">
        <v>90</v>
      </c>
      <c r="D116" s="51">
        <v>11</v>
      </c>
      <c r="E116" s="31" t="s">
        <v>41</v>
      </c>
      <c r="F116" s="31"/>
      <c r="G116" s="31"/>
    </row>
    <row r="118" spans="1:7" ht="16.2" x14ac:dyDescent="0.3">
      <c r="E118" s="52" t="s">
        <v>86</v>
      </c>
      <c r="F118" s="53">
        <f>2.3*F115/(4*3.14*D116)</f>
        <v>2.8766647365373474</v>
      </c>
      <c r="G118" s="30" t="s">
        <v>89</v>
      </c>
    </row>
    <row r="119" spans="1:7" ht="15.6" x14ac:dyDescent="0.3">
      <c r="E119" s="52" t="s">
        <v>87</v>
      </c>
    </row>
    <row r="120" spans="1:7" ht="15.6" x14ac:dyDescent="0.3">
      <c r="E120" s="52" t="s">
        <v>88</v>
      </c>
      <c r="F120" s="53">
        <f>+(2.3*F115/(4*3.14*F118))*LOG10((2.25*F118*0.0694)/(0.1014*0.1014*27))</f>
        <v>2.2989072041502663</v>
      </c>
    </row>
    <row r="122" spans="1:7" x14ac:dyDescent="0.3">
      <c r="A122" t="s">
        <v>58</v>
      </c>
      <c r="F122" t="s">
        <v>59</v>
      </c>
    </row>
    <row r="128" spans="1:7" ht="15.6" x14ac:dyDescent="0.3">
      <c r="A128" s="38" t="s">
        <v>63</v>
      </c>
      <c r="B128" s="38"/>
      <c r="C128" s="38"/>
      <c r="D128" s="38"/>
      <c r="E128" s="38"/>
      <c r="F128" s="38"/>
      <c r="G128" s="38"/>
    </row>
    <row r="131" spans="4:6" x14ac:dyDescent="0.3">
      <c r="D131" t="s">
        <v>50</v>
      </c>
    </row>
    <row r="143" spans="4:6" x14ac:dyDescent="0.3">
      <c r="E143">
        <f xml:space="preserve"> 0.0000468</f>
        <v>4.6799999999999999E-5</v>
      </c>
      <c r="F143" t="s">
        <v>64</v>
      </c>
    </row>
    <row r="144" spans="4:6" x14ac:dyDescent="0.3">
      <c r="F144" t="s">
        <v>65</v>
      </c>
    </row>
    <row r="145" spans="1:7" x14ac:dyDescent="0.3">
      <c r="A145" t="s">
        <v>67</v>
      </c>
    </row>
    <row r="146" spans="1:7" x14ac:dyDescent="0.3">
      <c r="A146" t="s">
        <v>66</v>
      </c>
    </row>
    <row r="147" spans="1:7" ht="30" customHeight="1" x14ac:dyDescent="0.3">
      <c r="A147" s="39" t="s">
        <v>68</v>
      </c>
      <c r="B147" s="39"/>
      <c r="C147" s="39"/>
      <c r="D147" s="39"/>
      <c r="E147" s="39"/>
      <c r="F147" s="39"/>
      <c r="G147" s="39"/>
    </row>
  </sheetData>
  <mergeCells count="4">
    <mergeCell ref="A59:F59"/>
    <mergeCell ref="A60:F60"/>
    <mergeCell ref="A128:G128"/>
    <mergeCell ref="A147:G147"/>
  </mergeCells>
  <pageMargins left="0.7" right="0.7" top="0.75" bottom="0.75" header="0.3" footer="0.3"/>
  <pageSetup paperSize="9" scale="57" orientation="portrait" horizontalDpi="4294967293" r:id="rId1"/>
  <rowBreaks count="2" manualBreakCount="2">
    <brk id="64" max="6" man="1"/>
    <brk id="145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NOTES</vt:lpstr>
      <vt:lpstr>Step Drawdown Test</vt:lpstr>
      <vt:lpstr>Aquifer Performance Test</vt:lpstr>
      <vt:lpstr>'Aquifer Performance Test'!Print_Area</vt:lpstr>
      <vt:lpstr>'Step Drawdown Test'!Print_Area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2025-07-07T20:18:52Z</cp:lastPrinted>
  <dcterms:created xsi:type="dcterms:W3CDTF">2021-01-13T08:27:36Z</dcterms:created>
  <dcterms:modified xsi:type="dcterms:W3CDTF">2025-07-07T23:58:34Z</dcterms:modified>
</cp:coreProperties>
</file>